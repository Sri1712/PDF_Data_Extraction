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Instructions" sheetId="1" r:id="rId5"/>
    <sheet state="visible" name="2. Corpus" sheetId="2" r:id="rId6"/>
    <sheet state="visible" name="3. Scoring Dimensions" sheetId="3" r:id="rId7"/>
    <sheet state="visible" name="4. Per-Doc Scores" sheetId="4" r:id="rId8"/>
    <sheet state="visible" name="5. Weights" sheetId="5" r:id="rId9"/>
    <sheet state="visible" name="6. Weighted Summary" sheetId="6" r:id="rId10"/>
    <sheet state="visible" name="7. Decision Matrix" sheetId="7" r:id="rId11"/>
  </sheets>
  <definedNames/>
  <calcPr/>
</workbook>
</file>

<file path=xl/sharedStrings.xml><?xml version="1.0" encoding="utf-8"?>
<sst xmlns="http://schemas.openxmlformats.org/spreadsheetml/2006/main" count="563" uniqueCount="316">
  <si>
    <t>PDF Extraction Tool Benchmark — Scoring Rubric</t>
  </si>
  <si>
    <t>ALPHA10X | Sourcing Assistant Document Pipeline</t>
  </si>
  <si>
    <t>How to use this workbook</t>
  </si>
  <si>
    <t>1. Assemble a corpus of 30–50 representative PDFs covering: financial statements, pitch decks, legal docs, scanned documents, and multilingual samples. List them on the 'Corpus' sheet.</t>
  </si>
  <si>
    <t>2. For each (document, tool) pair, fill in one row on the 'Per-Doc Scores' sheet. All dimensions are scored 1–5 (see scoring scale below). Yellow cells are inputs.</t>
  </si>
  <si>
    <t>3. Operational metrics (throughput, memory, cost) are filled per tool on the 'Tool Profile' sheet — these are tool-level, not per-document.</t>
  </si>
  <si>
    <t>4. The 'Weighted Summary' sheet aggregates per-doc scores into final weighted scores per tool. Adjust the weights column to reflect ALPHA10X priorities.</t>
  </si>
  <si>
    <t>5. The 'Decision Matrix' sheet gives the final shortlist view combining quality, operational fit, and ecosystem fit.</t>
  </si>
  <si>
    <t>Scoring scale (1–5)</t>
  </si>
  <si>
    <t>5 — Excellent: Production-ready. No meaningful errors. Output directly usable downstream.</t>
  </si>
  <si>
    <t>4 — Good: Minor issues that don't affect downstream use. Occasional small fixes needed.</t>
  </si>
  <si>
    <t>3 — Acceptable: Works but with noticeable errors. Usable with post-processing.</t>
  </si>
  <si>
    <t>2 — Poor: Frequent errors. Significant manual cleanup or fallback required.</t>
  </si>
  <si>
    <t>1 — Unusable: Output broken, missing, or actively misleading.</t>
  </si>
  <si>
    <t>0 — Not applicable (e.g. no tables in this document — leave blank instead of scoring 0)</t>
  </si>
  <si>
    <t>Golden truth: how to evaluate</t>
  </si>
  <si>
    <t>For each document in the corpus, create a 'ground truth' reference once. This is one-time work that pays off across all tools.</t>
  </si>
  <si>
    <t xml:space="preserve">  • Text: paste the correct reading order into a .txt or .md file (key sections, not necessarily full doc)</t>
  </si>
  <si>
    <t xml:space="preserve">  • Tables: rebuild 1–3 critical tables per doc in CSV/Excel as ground truth</t>
  </si>
  <si>
    <t xml:space="preserve">  • Structure: note the expected heading hierarchy</t>
  </si>
  <si>
    <t xml:space="preserve">  • Don't ground-truth everything — pick the 3–5 hardest pages per doc. That's where tools differ.</t>
  </si>
  <si>
    <t>Tools to benchmark (suggested shortlist)</t>
  </si>
  <si>
    <t>Docling (IBM) | Open Data Loader PDF (Hancom) | Marker (Datalab) | MinerU (OpenDataLab) | Unstructured | PyMuPDF4LLM | LlamaParse (commercial baseline) | Azure Document Intelligence (commercial ceiling)</t>
  </si>
  <si>
    <t>Tip: Include at least one commercial tool as a quality ceiling to calibrate whether open-source is 'good enough'.</t>
  </si>
  <si>
    <t>Doc ID</t>
  </si>
  <si>
    <t>Filename</t>
  </si>
  <si>
    <t>Category</t>
  </si>
  <si>
    <t>Pages</t>
  </si>
  <si>
    <t>Language</t>
  </si>
  <si>
    <t>Source/Notes</t>
  </si>
  <si>
    <t>Difficulty (1-5)</t>
  </si>
  <si>
    <t>Has Tables?</t>
  </si>
  <si>
    <t>Has Scans?</t>
  </si>
  <si>
    <t>Has Charts?</t>
  </si>
  <si>
    <t>DOC-001</t>
  </si>
  <si>
    <t>1_Rapport-financier-semestriel-AFD-2025</t>
  </si>
  <si>
    <t>Financial Statement</t>
  </si>
  <si>
    <t>English</t>
  </si>
  <si>
    <t>Agence Française de Développement</t>
  </si>
  <si>
    <t>Yes</t>
  </si>
  <si>
    <t>No</t>
  </si>
  <si>
    <t>DOC-002</t>
  </si>
  <si>
    <t>2_perfect -pitch-deck</t>
  </si>
  <si>
    <t>Pitch Deck / CIM</t>
  </si>
  <si>
    <t>Best Pitch Deck</t>
  </si>
  <si>
    <t>DOC-003</t>
  </si>
  <si>
    <t>3_NVCA-Model-Voting-Agreement</t>
  </si>
  <si>
    <t>Legal / Contract</t>
  </si>
  <si>
    <t>NVCA Model Legal Documents</t>
  </si>
  <si>
    <t>DOC-004</t>
  </si>
  <si>
    <t>4_scanned_document</t>
  </si>
  <si>
    <t>Scanned Document</t>
  </si>
  <si>
    <t>Internet Archive</t>
  </si>
  <si>
    <t>DOC-005</t>
  </si>
  <si>
    <t>5_ibm-annual-report-2025</t>
  </si>
  <si>
    <t>Annual Report</t>
  </si>
  <si>
    <t>IBM Annual report</t>
  </si>
  <si>
    <t>#</t>
  </si>
  <si>
    <t>Dimension</t>
  </si>
  <si>
    <t>What it measures</t>
  </si>
  <si>
    <t>How to score</t>
  </si>
  <si>
    <t>Score 1 (poor)</t>
  </si>
  <si>
    <t>Score 3 (acceptable)</t>
  </si>
  <si>
    <t>Score 5 (excellent)</t>
  </si>
  <si>
    <t>Default weight</t>
  </si>
  <si>
    <t>1</t>
  </si>
  <si>
    <t>Text accuracy</t>
  </si>
  <si>
    <t>Character/word-level fidelity of extracted text</t>
  </si>
  <si>
    <t>Pick 2 representative pages per doc. Compare extracted text to PDF visually OR compute CER (character error rate) against a ground-truth .txt. Score across the corpus.</t>
  </si>
  <si>
    <t>Many garbled characters, ligatures broken, accents lost (&gt;5% CER)</t>
  </si>
  <si>
    <t>Mostly correct but occasional OCR-like errors or missing chars (~1-2% CER)</t>
  </si>
  <si>
    <t>Near-perfect text; ligatures, accents, special chars preserved (&lt;0.5% CER)</t>
  </si>
  <si>
    <t>10%</t>
  </si>
  <si>
    <t>2</t>
  </si>
  <si>
    <t>Reading order</t>
  </si>
  <si>
    <t>Whether multi-column, sidebars, and footnotes appear in correct logical sequence</t>
  </si>
  <si>
    <t>Open extracted output, read it linearly, ask: 'Does this match how a human would read the PDF?' Particularly test multi-column financial reports.</t>
  </si>
  <si>
    <t>Columns merged or scrambled; footnotes injected mid-paragraph</t>
  </si>
  <si>
    <t>Mostly correct with occasional column/sidebar confusion</t>
  </si>
  <si>
    <t>Perfect reading order even on complex multi-column layouts</t>
  </si>
  <si>
    <t>8%</t>
  </si>
  <si>
    <t>3</t>
  </si>
  <si>
    <t>Table extraction — structure</t>
  </si>
  <si>
    <t>Whether table grid (rows, cols, merged cells, headers) is correctly recovered</t>
  </si>
  <si>
    <t>For each critical table, compare extracted structure to ground truth. Use TEDS (Tree Edit Distance Similarity) if automating, or visual diff if manual. Score the worst-performing table in the doc.</t>
  </si>
  <si>
    <t>Tables flattened to prose or completely broken</t>
  </si>
  <si>
    <t>Structure mostly intact; merged cells or spanning rows sometimes wrong</t>
  </si>
  <si>
    <t>Perfect structure including merged cells, multi-row headers, spanning</t>
  </si>
  <si>
    <t>15%</t>
  </si>
  <si>
    <t>4</t>
  </si>
  <si>
    <t>Table extraction — content</t>
  </si>
  <si>
    <t>Whether numerical values inside tables are correct, including negative numbers '(123)', thousands separators, currency</t>
  </si>
  <si>
    <t>Spot-check 10-20 numeric cells per critical table against ground truth. Count cell-level accuracy.</t>
  </si>
  <si>
    <t>Numbers frequently mis-parsed (parentheses dropped, decimals shifted)</t>
  </si>
  <si>
    <t>Most numbers correct; occasional formatting errors</t>
  </si>
  <si>
    <t>All numeric values, formats, and signs preserved correctly</t>
  </si>
  <si>
    <t>5</t>
  </si>
  <si>
    <t>Heading &amp; structure detection</t>
  </si>
  <si>
    <t>Whether H1/H2/H3 hierarchy is correctly identified and preserved in output</t>
  </si>
  <si>
    <t>Check output for heading markers (# in markdown, level fields in JSON). Compare against actual PDF heading structure.</t>
  </si>
  <si>
    <t>No heading detection; flat text only</t>
  </si>
  <si>
    <t>Headings detected but hierarchy levels sometimes wrong</t>
  </si>
  <si>
    <t>Heading hierarchy matches PDF exactly</t>
  </si>
  <si>
    <t>6</t>
  </si>
  <si>
    <t>Figures, charts &amp; images</t>
  </si>
  <si>
    <t>How charts and figures are handled: extracted as images with location metadata, or attempted as structured data</t>
  </si>
  <si>
    <t>Check whether figures appear in output, whether captions are associated correctly, whether bounding boxes are provided.</t>
  </si>
  <si>
    <t>Figures lost or in wrong locations; no captions</t>
  </si>
  <si>
    <t>Figures extracted but captions or positions sometimes off</t>
  </si>
  <si>
    <t>All figures extracted with correct captions, positions, and metadata</t>
  </si>
  <si>
    <t>5%</t>
  </si>
  <si>
    <t>7</t>
  </si>
  <si>
    <t>OCR quality (scanned docs only)</t>
  </si>
  <si>
    <t>Accuracy on scanned/image-based PDFs</t>
  </si>
  <si>
    <t>Only score on documents flagged 'Has Scans = Yes' on Corpus sheet. Same approach as text accuracy but on scanned input.</t>
  </si>
  <si>
    <t>Heavy OCR errors, missing chunks, gibberish on degraded scans</t>
  </si>
  <si>
    <t>Acceptable OCR on clean scans, struggles on degraded</t>
  </si>
  <si>
    <t>High accuracy even on degraded scans; language detection works</t>
  </si>
  <si>
    <t>7%</t>
  </si>
  <si>
    <t>8</t>
  </si>
  <si>
    <t>Output format quality (for RAG)</t>
  </si>
  <si>
    <t>Whether output (markdown/JSON) chunks cleanly without breaking tables or losing context</t>
  </si>
  <si>
    <t>Try chunking the output with a standard splitter (e.g. LangChain RecursiveCharacterTextSplitter, 1000 tokens). Inspect chunks for broken tables, orphaned headings, lost structure.</t>
  </si>
  <si>
    <t>Markdown bloated or malformed; chunks break tables; structure lost</t>
  </si>
  <si>
    <t>Usable for RAG but needs custom chunking logic</t>
  </si>
  <si>
    <t>Clean structured output; chunks cleanly; metadata preserved</t>
  </si>
  <si>
    <t>9</t>
  </si>
  <si>
    <t>Metadata &amp; source attribution</t>
  </si>
  <si>
    <t>Page numbers, bounding boxes, source coordinates — critical for retrieval annotation back-references</t>
  </si>
  <si>
    <t>Inspect output schema. Does it include page numbers? Bounding boxes? Element types?</t>
  </si>
  <si>
    <t>No metadata; just plain text dump</t>
  </si>
  <si>
    <t>Page numbers present; some element typing</t>
  </si>
  <si>
    <t>Full metadata: page, bbox, element type, parent relationships</t>
  </si>
  <si>
    <t>10</t>
  </si>
  <si>
    <t>Footer/header handling</t>
  </si>
  <si>
    <t>Whether running headers/footers/page numbers are correctly stripped or labeled</t>
  </si>
  <si>
    <t>Inspect output for repeated page-number noise or boilerplate injected into content.</t>
  </si>
  <si>
    <t>Headers/footers contaminate every page in output</t>
  </si>
  <si>
    <t>Inconsistent: stripped on some pages, kept on others</t>
  </si>
  <si>
    <t>Cleanly separated or labeled; configurable</t>
  </si>
  <si>
    <t>3%</t>
  </si>
  <si>
    <t>11</t>
  </si>
  <si>
    <t>Multilingual support</t>
  </si>
  <si>
    <t>Accuracy on non-English content (esp. French for ALPHA10X)</t>
  </si>
  <si>
    <t>Only score on docs flagged with non-English language. Same as text accuracy but on multilingual content.</t>
  </si>
  <si>
    <t>Heavy errors on accented chars or non-Latin scripts</t>
  </si>
  <si>
    <t>Latin scripts handled; some accent errors</t>
  </si>
  <si>
    <t>Multiple languages including French, German, etc. with full fidelity</t>
  </si>
  <si>
    <t>12</t>
  </si>
  <si>
    <t>Failure &amp; edge case handling</t>
  </si>
  <si>
    <t>How tool behaves on malformed, password-protected, or oversized PDFs</t>
  </si>
  <si>
    <t>Include 2-3 'edge case' PDFs: a corrupted file, a 500-page report, a password-protected one. Score graceful degradation.</t>
  </si>
  <si>
    <t>Crashes, hangs, or silently produces empty output</t>
  </si>
  <si>
    <t>Errors out cleanly with informative messages</t>
  </si>
  <si>
    <t>Graceful degradation; partial output where possible; clear error reporting</t>
  </si>
  <si>
    <t>Tool</t>
  </si>
  <si>
    <t>1. Text accuracy</t>
  </si>
  <si>
    <t>2. Reading order</t>
  </si>
  <si>
    <t>3. Table structure</t>
  </si>
  <si>
    <t>4. Table content</t>
  </si>
  <si>
    <t>5. Heading detection</t>
  </si>
  <si>
    <t>6. Figures/charts</t>
  </si>
  <si>
    <t>7. OCR quality</t>
  </si>
  <si>
    <t>8. RAG output quality</t>
  </si>
  <si>
    <t>9. Metadata</t>
  </si>
  <si>
    <t>10. Header/footer</t>
  </si>
  <si>
    <t>11. Multilingual</t>
  </si>
  <si>
    <t>12. Edge cases</t>
  </si>
  <si>
    <t>Avg (unweighted)</t>
  </si>
  <si>
    <t>Elapsed Time</t>
  </si>
  <si>
    <t>Notes / failure modes</t>
  </si>
  <si>
    <t>PyMuPDF4llm</t>
  </si>
  <si>
    <t>N/A</t>
  </si>
  <si>
    <t>77.9s</t>
  </si>
  <si>
    <t xml:space="preserve">Extracted text information properly but the performance was average on extracting data from the table </t>
  </si>
  <si>
    <t>50.2s</t>
  </si>
  <si>
    <t xml:space="preserve">Considered all the presentation slides as images. The tool gave an overall good performance </t>
  </si>
  <si>
    <t>18.8s</t>
  </si>
  <si>
    <t>Able to extract almost exact format for a legal document</t>
  </si>
  <si>
    <t>55.7s</t>
  </si>
  <si>
    <t>Difficulty in producing the data in logical sequence and the text accuracy is average. Couldn't extract data from the table in logical order.</t>
  </si>
  <si>
    <t>288.7s</t>
  </si>
  <si>
    <t>Longer processing time than usual. Struggled to extract images and providing the content in logical order.</t>
  </si>
  <si>
    <t>Docling</t>
  </si>
  <si>
    <t>87.6s</t>
  </si>
  <si>
    <t>Table structure and reading order was almost perfect. Couldn't identify and extract images properly. Took longer time to process as compared to other tools</t>
  </si>
  <si>
    <t>51.6s</t>
  </si>
  <si>
    <t>Was able to extract text from presentation slides. Couldn't identify and extract images.</t>
  </si>
  <si>
    <t>10.3s</t>
  </si>
  <si>
    <t>Difficulty in setting the output schema</t>
  </si>
  <si>
    <t>82.6s</t>
  </si>
  <si>
    <t>Able to extract text &amp; tables from the scanned document. Difficulty in producing the data in logical sequence and the text accuracy is below average.</t>
  </si>
  <si>
    <t>247.3s</t>
  </si>
  <si>
    <t>Able to extract text and tables from the file but failed to work properly with images. Took long time to process the code.</t>
  </si>
  <si>
    <t>Unstructured</t>
  </si>
  <si>
    <t>39.9s</t>
  </si>
  <si>
    <t>Preserves document hierarchy well &amp; delivers highly accurate text extraction. Table reconstruction and visual element extraction remain weak points, requiring additional post-processing or specialized tools when working with financial reports containing complex tables and charts.</t>
  </si>
  <si>
    <t>0.8s</t>
  </si>
  <si>
    <t>Identified &amp; extracted embedded text that existed in the PDF footer section. The presentation content was not extracted at all. Slides appear to have been processed as images without effective OCR, making the output unsuitable for search, RAG, summarization, or content analysis.</t>
  </si>
  <si>
    <t>15.2s</t>
  </si>
  <si>
    <t>Below average performance. Able to extract text but the format and logical sequence is lost.</t>
  </si>
  <si>
    <t>3.4s</t>
  </si>
  <si>
    <t>Couldn't identify and extract text from the scanned document. It was able to extract only the watermark.</t>
  </si>
  <si>
    <t>149.4s</t>
  </si>
  <si>
    <t>Couldn't extract texts and tables properly from the file. Reading order was poor.</t>
  </si>
  <si>
    <t>Open Data Loader</t>
  </si>
  <si>
    <t>20.8s</t>
  </si>
  <si>
    <t>Good performance in extracting the text and table content but the table structure was almost broken. Had difficulty in extracting all the figures from the file</t>
  </si>
  <si>
    <t>10.9s</t>
  </si>
  <si>
    <t>Correctly identified individual slides and preserved the slide sequence. It also extracted the text from the final slide accurately, including footer and copyright information. The actual slide content was not extracted, leaving only image placeholders for most pages.</t>
  </si>
  <si>
    <t>6.6s</t>
  </si>
  <si>
    <t>Extracted content well from the pdf and maintained the reading order. There was no images and table in the document.</t>
  </si>
  <si>
    <t>11.0s</t>
  </si>
  <si>
    <t xml:space="preserve">Identified image boundaries and preserved document pagination. OCR extraction failed completely on the document content, capturing only the repeated watermark text. </t>
  </si>
  <si>
    <t>20.4s</t>
  </si>
  <si>
    <t xml:space="preserve">Able to extract text and table content from the pdf. Faced difficulty in finding the reading order and table structure was broken where there was multiple merged cells </t>
  </si>
  <si>
    <t>marker</t>
  </si>
  <si>
    <t>122.8s</t>
  </si>
  <si>
    <t>Was able to extract text, tables &amp; images from the document. Failed to extract page numbers and headers.</t>
  </si>
  <si>
    <t>111.6s</t>
  </si>
  <si>
    <t>Able to extract text along with layout metadata like bounding boxes. Reading order &amp; document structure are not reliable and weak reconstruction of complex layouts</t>
  </si>
  <si>
    <t>24.9s</t>
  </si>
  <si>
    <t>Able to extract text including headings, footnotes, and hierarchical sections. Was able to preserve reading order in most sections, but complex formatting is inconsistently aligned.</t>
  </si>
  <si>
    <t>85.4s</t>
  </si>
  <si>
    <t>Extracts strong structural metadata and decent raw text. Struggles with tables, figures, &amp; maintaining correct reading order, especially in scanned documents.</t>
  </si>
  <si>
    <t>218.7s</t>
  </si>
  <si>
    <t>Nearly accurate text extraction and heading hierarchy. It struggled a little in reading order consistency in mixed-layout pages (tables + figures + narrative)</t>
  </si>
  <si>
    <t>pdftotext + pymupdf</t>
  </si>
  <si>
    <t>13.3s</t>
  </si>
  <si>
    <t>Near perfect response in extracting text and tables. Reading order and logical sequence is maintained.</t>
  </si>
  <si>
    <t>48.9s</t>
  </si>
  <si>
    <t>Average performance for a presentation document. Took longer time to process and couldn't present the data in proper reading order. Also, some data weren't extracted.</t>
  </si>
  <si>
    <t>4.1s</t>
  </si>
  <si>
    <t>Works well for the legal document. Able to extract the format and data of the provided document</t>
  </si>
  <si>
    <t>131.0s</t>
  </si>
  <si>
    <t>24.3s</t>
  </si>
  <si>
    <t>Difficulty in identifying the figures and charts. the header identification is absent.</t>
  </si>
  <si>
    <t>pdftotext + docling</t>
  </si>
  <si>
    <t>146.0s</t>
  </si>
  <si>
    <t>Well extracted the text, numerical values and section hierarchy from the pdf. Had difficulty with table layout, figures and incomplete reading-order reconstruction.</t>
  </si>
  <si>
    <t>122.6s</t>
  </si>
  <si>
    <t>Average extraction of data from the document. Reading order was maintained with few missing visual content. Also, the output schema lacked page numbers and footers.</t>
  </si>
  <si>
    <t>106.0s</t>
  </si>
  <si>
    <t xml:space="preserve">Extracted major data accurately from the legal document. Was able to capture the logical sequence and formatting intent. </t>
  </si>
  <si>
    <t>200.0s</t>
  </si>
  <si>
    <t>Moderate level extraction for structured form documents and able to preserve section flow, checkboxes. Could observe table misalignment which results in low-level accuracy.</t>
  </si>
  <si>
    <t>144.9s</t>
  </si>
  <si>
    <t>Able to extract most of the text, headings, and tables. It has difficulty with multi-column layouts, charts and repeated page elements.</t>
  </si>
  <si>
    <t>Llamaparse</t>
  </si>
  <si>
    <t>64.5s</t>
  </si>
  <si>
    <t>Able to preserves document's logical structure exceptionally well, like heading hierarchy, page boundaries, footnotes, and section organization. There is very minimal formatting loss.</t>
  </si>
  <si>
    <t>78.2s</t>
  </si>
  <si>
    <t>Preserved slide structure accurately. Captured headings, bullet points, emphasis, callouts, and page breaks. Maintained presentation semantics better than other solutions.</t>
  </si>
  <si>
    <t>48.6s</t>
  </si>
  <si>
    <t>Extracted complex legal formatting, numbered clauses, definitions, recitals, and footnotes effectively. Maintained logical document flow and hierarchy.</t>
  </si>
  <si>
    <t>52.7s</t>
  </si>
  <si>
    <t>Successfully extracted field labels, tables, checkbox states, personal details, and incident information while maintaining document organization. Compared with legal agreements and financial reports, form documents are inherently more difficult because of their grid-based layouts, merged cells, and checkbox controls. The output remains highly usable with only minor OCR errors like misspelled words, Corrupted field values.</t>
  </si>
  <si>
    <t>56.8s</t>
  </si>
  <si>
    <t>Excellent extraction of narrative business content but graphs are converted into simplified tables. Certain sections appear duplicated. Footnotes and supporting explanations are retained. Strong heading hierarchy and section segmentation.</t>
  </si>
  <si>
    <t>Azure Document Intelligence</t>
  </si>
  <si>
    <t>76.3s</t>
  </si>
  <si>
    <t>Generally accurate text extraction with acceptable reading order. Missed or incorrectly reconstructed some table relationships. OCR quality inconsistent on low-quality regions. Header/footer extraction only partially captured.</t>
  </si>
  <si>
    <t>Stronger text and table extraction but heading hierarchy and document structure were inconsistently identified. OCR artifacts caused minor content omissions. Metadata extraction was basic. Processing time increased without proportional quality gains.</t>
  </si>
  <si>
    <t>165.2s</t>
  </si>
  <si>
    <t>Accurate text extraction, table reconstruction, header/footer detection, metadata capture, and RAG-ready output. Minor weaknesses remain around figures/charts.</t>
  </si>
  <si>
    <t>68.4s</t>
  </si>
  <si>
    <t>Some table cells were misplaced due to reading-order ambiguities. Metadata extraction incomplete. OCR errors present in complex layouts.</t>
  </si>
  <si>
    <t>98.7s</t>
  </si>
  <si>
    <t xml:space="preserve">Strong document structure recognition with good table reconstruction and metadata extraction. Minor inaccuracies in table content remained, particularly in dense layouts. Header/footer detection was less consistent than core content extraction. </t>
  </si>
  <si>
    <t>Dimension weights</t>
  </si>
  <si>
    <t>Adjust the weight column to reflect ALPHA10X priorities. Weights should sum to 100%.</t>
  </si>
  <si>
    <t>Weight</t>
  </si>
  <si>
    <t>Rationale</t>
  </si>
  <si>
    <t>Foundation but most tools are now decent here.</t>
  </si>
  <si>
    <t>Critical for multi-column financial reports.</t>
  </si>
  <si>
    <t>Table structure</t>
  </si>
  <si>
    <t>PE use case: financials, comps tables are core data.</t>
  </si>
  <si>
    <t>Table content</t>
  </si>
  <si>
    <t>Numerical fidelity drives downstream analysis quality.</t>
  </si>
  <si>
    <t>Heading detection</t>
  </si>
  <si>
    <t>Drives chunking and section-level retrieval.</t>
  </si>
  <si>
    <t>Figures/charts</t>
  </si>
  <si>
    <t>Less critical if charts are kept as images.</t>
  </si>
  <si>
    <t>OCR quality</t>
  </si>
  <si>
    <t>Needed when CIMs/teasers arrive as scans.</t>
  </si>
  <si>
    <t>RAG output quality</t>
  </si>
  <si>
    <t>Directly affects assistant retrieval quality.</t>
  </si>
  <si>
    <t>Metadata</t>
  </si>
  <si>
    <t>Needed for retrieval annotation framework source attribution.</t>
  </si>
  <si>
    <t>Header/footer</t>
  </si>
  <si>
    <t>Nuisance, not blocker — post-processable.</t>
  </si>
  <si>
    <t>Multilingual</t>
  </si>
  <si>
    <t>French content at ALPHA10X.</t>
  </si>
  <si>
    <t>Edge cases</t>
  </si>
  <si>
    <t>Production robustness.</t>
  </si>
  <si>
    <t>TOTAL</t>
  </si>
  <si>
    <t>Per-tool weighted scores (averaged across corpus)</t>
  </si>
  <si>
    <t>Add tool names in column A. Cells compute the AVG score per dimension across all corpus docs for that tool, then apply weights from sheet '5. Weights'.</t>
  </si>
  <si>
    <t>D1: Text</t>
  </si>
  <si>
    <t>D2: Read order</t>
  </si>
  <si>
    <t>D3: Tbl struct</t>
  </si>
  <si>
    <t>D4: Tbl content</t>
  </si>
  <si>
    <t>D5: Heading</t>
  </si>
  <si>
    <t>D6: Figures</t>
  </si>
  <si>
    <t>D7: OCR</t>
  </si>
  <si>
    <t>D8: RAG out</t>
  </si>
  <si>
    <t>D9: Metadata</t>
  </si>
  <si>
    <t>D10: H/F</t>
  </si>
  <si>
    <t>D11: Multiling</t>
  </si>
  <si>
    <t>D12: Edge</t>
  </si>
  <si>
    <t>Weighted score</t>
  </si>
  <si>
    <t>Rank</t>
  </si>
  <si>
    <t>Pymupdf4llm</t>
  </si>
  <si>
    <t>Marker</t>
  </si>
  <si>
    <t>Final decision matrix</t>
  </si>
  <si>
    <t>Quality (0-5)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</si>
</sst>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4">
    <font>
      <sz val="11.0"/>
      <color theme="1"/>
      <name val="Calibri"/>
      <scheme val="minor"/>
    </font>
    <font>
      <b/>
      <sz val="18.0"/>
      <color rgb="FF1F4E78"/>
      <name val="Arial"/>
    </font>
    <font>
      <i/>
      <sz val="12.0"/>
      <color rgb="FF595959"/>
      <name val="Arial"/>
    </font>
    <font>
      <b/>
      <sz val="13.0"/>
      <color rgb="FF1F4E78"/>
      <name val="Arial"/>
    </font>
    <font>
      <sz val="10.0"/>
      <color theme="1"/>
      <name val="Arial"/>
    </font>
    <font>
      <i/>
      <sz val="10.0"/>
      <color rgb="FF2E75B6"/>
      <name val="Arial"/>
    </font>
    <font>
      <b/>
      <sz val="11.0"/>
      <color rgb="FFFFFFFF"/>
      <name val="Arial"/>
    </font>
    <font>
      <b/>
      <sz val="11.0"/>
      <color theme="1"/>
      <name val="Arial"/>
    </font>
    <font>
      <b/>
      <sz val="10.0"/>
      <color rgb="FFFFFFFF"/>
      <name val="Arial"/>
    </font>
    <font>
      <b/>
      <sz val="10.0"/>
      <color theme="1"/>
      <name val="Arial"/>
    </font>
    <font>
      <color theme="1"/>
      <name val="Calibri"/>
      <scheme val="minor"/>
    </font>
    <font>
      <b/>
      <sz val="14.0"/>
      <color rgb="FF1F4E78"/>
      <name val="Arial"/>
    </font>
    <font>
      <i/>
      <sz val="9.0"/>
      <color rgb="FF595959"/>
      <name val="Arial"/>
    </font>
    <font>
      <sz val="11.0"/>
      <color theme="1"/>
      <name val="Calibri"/>
    </font>
  </fonts>
  <fills count="6">
    <fill>
      <patternFill patternType="none"/>
    </fill>
    <fill>
      <patternFill patternType="lightGray"/>
    </fill>
    <fill>
      <patternFill patternType="solid">
        <fgColor rgb="FFD9E1F2"/>
        <bgColor rgb="FFD9E1F2"/>
      </patternFill>
    </fill>
    <fill>
      <patternFill patternType="solid">
        <fgColor rgb="FF1F4E78"/>
        <bgColor rgb="FF1F4E78"/>
      </patternFill>
    </fill>
    <fill>
      <patternFill patternType="solid">
        <fgColor rgb="FFFFF2CC"/>
        <bgColor rgb="FFFFF2CC"/>
      </patternFill>
    </fill>
    <fill>
      <patternFill patternType="solid">
        <fgColor rgb="FFE2EFDA"/>
        <bgColor rgb="FFE2EFDA"/>
      </patternFill>
    </fill>
  </fills>
  <borders count="8">
    <border/>
    <border>
      <left/>
      <right/>
      <top/>
      <bottom/>
    </border>
    <border>
      <left style="thin">
        <color rgb="FFB4B4B4"/>
      </left>
      <right style="thin">
        <color rgb="FFB4B4B4"/>
      </right>
      <top style="thin">
        <color rgb="FFB4B4B4"/>
      </top>
      <bottom style="thin">
        <color rgb="FFB4B4B4"/>
      </bottom>
    </border>
    <border>
      <left style="thin">
        <color rgb="FFB4B4B4"/>
      </left>
      <top style="thin">
        <color rgb="FFB4B4B4"/>
      </top>
      <bottom style="thin">
        <color rgb="FFB4B4B4"/>
      </bottom>
    </border>
    <border>
      <left style="thin">
        <color rgb="FFB4B4B4"/>
      </left>
      <right style="thin">
        <color rgb="FFB4B4B4"/>
      </right>
      <top style="thin">
        <color rgb="FFB4B4B4"/>
      </top>
    </border>
    <border>
      <left style="thin">
        <color rgb="FFB7B7B7"/>
      </left>
      <right style="thin">
        <color rgb="FFB7B7B7"/>
      </right>
      <top style="thin">
        <color rgb="FFB7B7B7"/>
      </top>
      <bottom style="thin">
        <color rgb="FFB7B7B7"/>
      </bottom>
    </border>
    <border>
      <top style="thin">
        <color rgb="FFB4B4B4"/>
      </top>
      <bottom style="thin">
        <color rgb="FFB4B4B4"/>
      </bottom>
    </border>
    <border>
      <left style="thin">
        <color rgb="FFB4B4B4"/>
      </left>
      <right style="thin">
        <color rgb="FFB4B4B4"/>
      </right>
      <bottom style="thin">
        <color rgb="FFB4B4B4"/>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1" fillId="2" fontId="3" numFmtId="0" xfId="0" applyAlignment="1" applyBorder="1" applyFill="1" applyFont="1">
      <alignment shrinkToFit="0" vertical="bottom" wrapText="0"/>
    </xf>
    <xf borderId="0" fillId="0" fontId="4" numFmtId="0" xfId="0" applyAlignment="1" applyFont="1">
      <alignment horizontal="left" shrinkToFit="0" vertical="top" wrapText="1"/>
    </xf>
    <xf borderId="0" fillId="0" fontId="5" numFmtId="0" xfId="0" applyAlignment="1" applyFont="1">
      <alignment shrinkToFit="0" vertical="bottom" wrapText="0"/>
    </xf>
    <xf borderId="2" fillId="3" fontId="6" numFmtId="0" xfId="0" applyAlignment="1" applyBorder="1" applyFill="1" applyFont="1">
      <alignment horizontal="center" shrinkToFit="0" vertical="center" wrapText="1"/>
    </xf>
    <xf borderId="0" fillId="0" fontId="7" numFmtId="0" xfId="0" applyAlignment="1" applyFont="1">
      <alignment shrinkToFit="0" vertical="bottom" wrapText="0"/>
    </xf>
    <xf borderId="2" fillId="4" fontId="4" numFmtId="0" xfId="0" applyAlignment="1" applyBorder="1" applyFill="1" applyFont="1">
      <alignment horizontal="center" readingOrder="0" shrinkToFit="0" vertical="bottom" wrapText="0"/>
    </xf>
    <xf borderId="2" fillId="4" fontId="4" numFmtId="0" xfId="0" applyAlignment="1" applyBorder="1" applyFont="1">
      <alignment shrinkToFit="0" vertical="bottom" wrapText="0"/>
    </xf>
    <xf borderId="2" fillId="0" fontId="7" numFmtId="0" xfId="0" applyAlignment="1" applyBorder="1" applyFont="1">
      <alignment horizontal="center" shrinkToFit="0" vertical="center" wrapText="1"/>
    </xf>
    <xf borderId="2" fillId="0" fontId="7" numFmtId="0" xfId="0" applyAlignment="1" applyBorder="1" applyFont="1">
      <alignment horizontal="left" shrinkToFit="0" vertical="top" wrapText="1"/>
    </xf>
    <xf borderId="2" fillId="0" fontId="4" numFmtId="0" xfId="0" applyAlignment="1" applyBorder="1" applyFont="1">
      <alignment horizontal="left" shrinkToFit="0" vertical="top" wrapText="1"/>
    </xf>
    <xf borderId="2" fillId="3" fontId="8" numFmtId="0" xfId="0" applyAlignment="1" applyBorder="1" applyFont="1">
      <alignment horizontal="center" readingOrder="0" shrinkToFit="0" vertical="center" wrapText="1"/>
    </xf>
    <xf borderId="3" fillId="3" fontId="6" numFmtId="0" xfId="0" applyAlignment="1" applyBorder="1" applyFont="1">
      <alignment horizontal="center" shrinkToFit="0" vertical="center" wrapText="1"/>
    </xf>
    <xf borderId="2" fillId="4" fontId="9" numFmtId="0" xfId="0" applyAlignment="1" applyBorder="1" applyFont="1">
      <alignment horizontal="center" readingOrder="0" shrinkToFit="0" vertical="bottom" wrapText="0"/>
    </xf>
    <xf borderId="2" fillId="4" fontId="4" numFmtId="0" xfId="0" applyAlignment="1" applyBorder="1" applyFont="1">
      <alignment horizontal="center" readingOrder="0" shrinkToFit="0" vertical="center" wrapText="1"/>
    </xf>
    <xf borderId="2" fillId="5" fontId="4" numFmtId="2" xfId="0" applyAlignment="1" applyBorder="1" applyFill="1" applyFont="1" applyNumberFormat="1">
      <alignment horizontal="center" shrinkToFit="0" vertical="center" wrapText="1"/>
    </xf>
    <xf borderId="2" fillId="4" fontId="4" numFmtId="0" xfId="0" applyAlignment="1" applyBorder="1" applyFont="1">
      <alignment horizontal="center" readingOrder="0" shrinkToFit="0" vertical="top" wrapText="1"/>
    </xf>
    <xf borderId="3" fillId="4" fontId="4" numFmtId="0" xfId="0" applyAlignment="1" applyBorder="1" applyFont="1">
      <alignment horizontal="left" readingOrder="0" shrinkToFit="0" vertical="top" wrapText="1"/>
    </xf>
    <xf borderId="4" fillId="4" fontId="4" numFmtId="0" xfId="0" applyAlignment="1" applyBorder="1" applyFont="1">
      <alignment horizontal="center" readingOrder="0" shrinkToFit="0" vertical="top" wrapText="1"/>
    </xf>
    <xf borderId="3" fillId="5" fontId="4" numFmtId="2" xfId="0" applyAlignment="1" applyBorder="1" applyFont="1" applyNumberFormat="1">
      <alignment horizontal="center" shrinkToFit="0" vertical="center" wrapText="1"/>
    </xf>
    <xf borderId="5" fillId="4" fontId="4" numFmtId="0" xfId="0" applyAlignment="1" applyBorder="1" applyFont="1">
      <alignment horizontal="center" readingOrder="0"/>
    </xf>
    <xf borderId="6" fillId="4" fontId="4" numFmtId="0" xfId="0" applyAlignment="1" applyBorder="1" applyFont="1">
      <alignment horizontal="left" readingOrder="0" shrinkToFit="0" vertical="top" wrapText="1"/>
    </xf>
    <xf borderId="7" fillId="4" fontId="4" numFmtId="0" xfId="0" applyAlignment="1" applyBorder="1" applyFont="1">
      <alignment horizontal="center" readingOrder="0" shrinkToFit="0" vertical="top" wrapText="1"/>
    </xf>
    <xf borderId="2" fillId="4" fontId="4" numFmtId="0" xfId="0" applyAlignment="1" applyBorder="1" applyFont="1">
      <alignment horizontal="center" shrinkToFit="0" vertical="bottom" wrapText="0"/>
    </xf>
    <xf borderId="2" fillId="4" fontId="4" numFmtId="0" xfId="0" applyAlignment="1" applyBorder="1" applyFont="1">
      <alignment horizontal="center" shrinkToFit="0" vertical="center" wrapText="1"/>
    </xf>
    <xf borderId="3" fillId="4" fontId="4" numFmtId="0" xfId="0" applyAlignment="1" applyBorder="1" applyFont="1">
      <alignment horizontal="left" shrinkToFit="0" vertical="top" wrapText="1"/>
    </xf>
    <xf borderId="2" fillId="4" fontId="4" numFmtId="0" xfId="0" applyAlignment="1" applyBorder="1" applyFont="1">
      <alignment horizontal="center" shrinkToFit="0" vertical="top" wrapText="1"/>
    </xf>
    <xf borderId="0" fillId="0" fontId="10" numFmtId="0" xfId="0" applyAlignment="1" applyFont="1">
      <alignment horizontal="center"/>
    </xf>
    <xf borderId="0" fillId="0" fontId="4" numFmtId="0" xfId="0" applyAlignment="1" applyFont="1">
      <alignment horizontal="center"/>
    </xf>
    <xf borderId="0" fillId="0" fontId="11" numFmtId="0" xfId="0" applyAlignment="1" applyFont="1">
      <alignment shrinkToFit="0" vertical="bottom" wrapText="0"/>
    </xf>
    <xf borderId="0" fillId="0" fontId="12" numFmtId="0" xfId="0" applyAlignment="1" applyFont="1">
      <alignment shrinkToFit="0" vertical="bottom" wrapText="0"/>
    </xf>
    <xf borderId="2" fillId="0" fontId="7" numFmtId="0" xfId="0" applyAlignment="1" applyBorder="1" applyFont="1">
      <alignment shrinkToFit="0" vertical="bottom" wrapText="0"/>
    </xf>
    <xf borderId="2" fillId="4" fontId="4" numFmtId="164" xfId="0" applyAlignment="1" applyBorder="1" applyFont="1" applyNumberFormat="1">
      <alignment horizontal="center" shrinkToFit="0" vertical="center" wrapText="1"/>
    </xf>
    <xf borderId="0" fillId="0" fontId="7" numFmtId="0" xfId="0" applyAlignment="1" applyFont="1">
      <alignment horizontal="right" shrinkToFit="0" vertical="bottom" wrapText="0"/>
    </xf>
    <xf borderId="2" fillId="5" fontId="7" numFmtId="164" xfId="0" applyAlignment="1" applyBorder="1" applyFont="1" applyNumberFormat="1">
      <alignment horizontal="center" shrinkToFit="0" vertical="center" wrapText="1"/>
    </xf>
    <xf borderId="2" fillId="4" fontId="7" numFmtId="0" xfId="0" applyAlignment="1" applyBorder="1" applyFont="1">
      <alignment readingOrder="0" shrinkToFit="0" vertical="bottom" wrapText="0"/>
    </xf>
    <xf borderId="2" fillId="5" fontId="13" numFmtId="2" xfId="0" applyAlignment="1" applyBorder="1" applyFont="1" applyNumberFormat="1">
      <alignment horizontal="center" shrinkToFit="0" vertical="center" wrapText="1"/>
    </xf>
    <xf borderId="2" fillId="5" fontId="13" numFmtId="2" xfId="0" applyAlignment="1" applyBorder="1" applyFont="1" applyNumberFormat="1">
      <alignment horizontal="center" readingOrder="0" shrinkToFit="0" vertical="center" wrapText="1"/>
    </xf>
    <xf borderId="2" fillId="5" fontId="7" numFmtId="2" xfId="0" applyAlignment="1" applyBorder="1" applyFont="1" applyNumberFormat="1">
      <alignment horizontal="center" readingOrder="0" shrinkToFit="0" vertical="center" wrapText="1"/>
    </xf>
    <xf borderId="2" fillId="5" fontId="7" numFmtId="0" xfId="0" applyAlignment="1" applyBorder="1" applyFont="1">
      <alignment horizontal="center" shrinkToFit="0" vertical="center" wrapText="1"/>
    </xf>
    <xf borderId="2" fillId="4" fontId="7" numFmtId="0" xfId="0" applyAlignment="1" applyBorder="1" applyFont="1">
      <alignment shrinkToFit="0" vertical="bottom" wrapText="0"/>
    </xf>
    <xf borderId="2" fillId="5" fontId="7" numFmtId="2" xfId="0" applyAlignment="1" applyBorder="1" applyFont="1" applyNumberFormat="1">
      <alignment horizontal="center" shrinkToFit="0" vertical="center" wrapText="1"/>
    </xf>
    <xf borderId="2" fillId="5" fontId="7" numFmtId="0" xfId="0" applyAlignment="1" applyBorder="1" applyFont="1">
      <alignment shrinkToFit="0" vertical="bottom" wrapText="0"/>
    </xf>
    <xf borderId="2" fillId="5" fontId="7" numFmtId="0" xfId="0" applyAlignment="1" applyBorder="1" applyFont="1">
      <alignment horizontal="center" readingOrder="0" shrinkToFit="0" vertical="center" wrapText="1"/>
    </xf>
    <xf borderId="2" fillId="5" fontId="7" numFmtId="0" xfId="0" applyAlignment="1" applyBorder="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0"/>
    <col customWidth="1" min="2" max="26" width="8.71"/>
  </cols>
  <sheetData>
    <row r="1" ht="21.75" customHeight="1">
      <c r="A1" s="1" t="s">
        <v>0</v>
      </c>
    </row>
    <row r="2" ht="21.75" customHeight="1">
      <c r="A2" s="2" t="s">
        <v>1</v>
      </c>
    </row>
    <row r="3" ht="21.75" customHeight="1"/>
    <row r="4" ht="21.75" customHeight="1">
      <c r="A4" s="3" t="s">
        <v>2</v>
      </c>
    </row>
    <row r="5" ht="21.75" customHeight="1"/>
    <row r="6" ht="21.75" customHeight="1">
      <c r="A6" s="4" t="s">
        <v>3</v>
      </c>
    </row>
    <row r="7" ht="21.75" customHeight="1">
      <c r="A7" s="4" t="s">
        <v>4</v>
      </c>
    </row>
    <row r="8" ht="21.75" customHeight="1">
      <c r="A8" s="4" t="s">
        <v>5</v>
      </c>
    </row>
    <row r="9" ht="21.75" customHeight="1">
      <c r="A9" s="4" t="s">
        <v>6</v>
      </c>
    </row>
    <row r="10" ht="21.75" customHeight="1">
      <c r="A10" s="4" t="s">
        <v>7</v>
      </c>
    </row>
    <row r="11" ht="21.75" customHeight="1"/>
    <row r="12" ht="21.75" customHeight="1">
      <c r="A12" s="3" t="s">
        <v>8</v>
      </c>
    </row>
    <row r="13" ht="21.75" customHeight="1"/>
    <row r="14" ht="21.75" customHeight="1">
      <c r="A14" s="4" t="s">
        <v>9</v>
      </c>
    </row>
    <row r="15" ht="21.75" customHeight="1">
      <c r="A15" s="4" t="s">
        <v>10</v>
      </c>
    </row>
    <row r="16" ht="21.75" customHeight="1">
      <c r="A16" s="4" t="s">
        <v>11</v>
      </c>
    </row>
    <row r="17" ht="21.75" customHeight="1">
      <c r="A17" s="4" t="s">
        <v>12</v>
      </c>
    </row>
    <row r="18" ht="21.75" customHeight="1">
      <c r="A18" s="4" t="s">
        <v>13</v>
      </c>
    </row>
    <row r="19" ht="21.75" customHeight="1">
      <c r="A19" s="4" t="s">
        <v>14</v>
      </c>
    </row>
    <row r="20" ht="21.75" customHeight="1"/>
    <row r="21" ht="21.75" customHeight="1">
      <c r="A21" s="3" t="s">
        <v>15</v>
      </c>
    </row>
    <row r="22" ht="21.75" customHeight="1"/>
    <row r="23" ht="21.75" customHeight="1">
      <c r="A23" s="4" t="s">
        <v>16</v>
      </c>
    </row>
    <row r="24" ht="21.75" customHeight="1">
      <c r="A24" s="4" t="s">
        <v>17</v>
      </c>
    </row>
    <row r="25" ht="21.75" customHeight="1">
      <c r="A25" s="4" t="s">
        <v>18</v>
      </c>
    </row>
    <row r="26" ht="21.75" customHeight="1">
      <c r="A26" s="4" t="s">
        <v>19</v>
      </c>
    </row>
    <row r="27" ht="21.75" customHeight="1">
      <c r="A27" s="4" t="s">
        <v>20</v>
      </c>
    </row>
    <row r="28" ht="21.75" customHeight="1"/>
    <row r="29" ht="21.75" customHeight="1">
      <c r="A29" s="3" t="s">
        <v>21</v>
      </c>
    </row>
    <row r="30" ht="21.75" customHeight="1"/>
    <row r="31" ht="21.75" customHeight="1">
      <c r="A31" s="4" t="s">
        <v>22</v>
      </c>
    </row>
    <row r="32" ht="21.75" customHeight="1"/>
    <row r="33" ht="21.75" customHeight="1">
      <c r="A33" s="5" t="s">
        <v>23</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0.0"/>
    <col customWidth="1" min="2" max="2" width="36.14"/>
    <col customWidth="1" min="3" max="3" width="20.86"/>
    <col customWidth="1" min="4" max="4" width="7.29"/>
    <col customWidth="1" min="5" max="5" width="11.0"/>
    <col customWidth="1" min="6" max="6" width="33.0"/>
    <col customWidth="1" min="7" max="7" width="10.14"/>
    <col customWidth="1" min="8" max="8" width="8.86"/>
    <col customWidth="1" min="9" max="9" width="8.57"/>
    <col customWidth="1" min="10" max="10" width="9.0"/>
    <col customWidth="1" min="11" max="26" width="8.71"/>
  </cols>
  <sheetData>
    <row r="1" ht="30.0" customHeight="1">
      <c r="A1" s="6" t="s">
        <v>24</v>
      </c>
      <c r="B1" s="6" t="s">
        <v>25</v>
      </c>
      <c r="C1" s="6" t="s">
        <v>26</v>
      </c>
      <c r="D1" s="6" t="s">
        <v>27</v>
      </c>
      <c r="E1" s="6" t="s">
        <v>28</v>
      </c>
      <c r="F1" s="6" t="s">
        <v>29</v>
      </c>
      <c r="G1" s="6" t="s">
        <v>30</v>
      </c>
      <c r="H1" s="6" t="s">
        <v>31</v>
      </c>
      <c r="I1" s="6" t="s">
        <v>32</v>
      </c>
      <c r="J1" s="6" t="s">
        <v>33</v>
      </c>
    </row>
    <row r="2">
      <c r="A2" s="7" t="s">
        <v>34</v>
      </c>
      <c r="B2" s="8" t="s">
        <v>35</v>
      </c>
      <c r="C2" s="8" t="s">
        <v>36</v>
      </c>
      <c r="D2" s="8">
        <v>53.0</v>
      </c>
      <c r="E2" s="8" t="s">
        <v>37</v>
      </c>
      <c r="F2" s="8" t="s">
        <v>38</v>
      </c>
      <c r="G2" s="8">
        <v>3.0</v>
      </c>
      <c r="H2" s="8" t="s">
        <v>39</v>
      </c>
      <c r="I2" s="8" t="s">
        <v>40</v>
      </c>
      <c r="J2" s="8" t="s">
        <v>40</v>
      </c>
    </row>
    <row r="3">
      <c r="A3" s="7" t="s">
        <v>41</v>
      </c>
      <c r="B3" s="8" t="s">
        <v>42</v>
      </c>
      <c r="C3" s="8" t="s">
        <v>43</v>
      </c>
      <c r="D3" s="8">
        <v>16.0</v>
      </c>
      <c r="E3" s="8" t="s">
        <v>37</v>
      </c>
      <c r="F3" s="8" t="s">
        <v>44</v>
      </c>
      <c r="G3" s="8">
        <v>4.0</v>
      </c>
      <c r="H3" s="8" t="s">
        <v>40</v>
      </c>
      <c r="I3" s="8" t="s">
        <v>40</v>
      </c>
      <c r="J3" s="8" t="s">
        <v>39</v>
      </c>
    </row>
    <row r="4">
      <c r="A4" s="7" t="s">
        <v>45</v>
      </c>
      <c r="B4" s="8" t="s">
        <v>46</v>
      </c>
      <c r="C4" s="8" t="s">
        <v>47</v>
      </c>
      <c r="D4" s="8">
        <v>23.0</v>
      </c>
      <c r="E4" s="8" t="s">
        <v>37</v>
      </c>
      <c r="F4" s="8" t="s">
        <v>48</v>
      </c>
      <c r="G4" s="8">
        <v>2.0</v>
      </c>
      <c r="H4" s="8" t="s">
        <v>40</v>
      </c>
      <c r="I4" s="8" t="s">
        <v>40</v>
      </c>
      <c r="J4" s="8" t="s">
        <v>40</v>
      </c>
    </row>
    <row r="5">
      <c r="A5" s="7" t="s">
        <v>49</v>
      </c>
      <c r="B5" s="8" t="s">
        <v>50</v>
      </c>
      <c r="C5" s="8" t="s">
        <v>51</v>
      </c>
      <c r="D5" s="8">
        <v>10.0</v>
      </c>
      <c r="E5" s="8" t="s">
        <v>37</v>
      </c>
      <c r="F5" s="8" t="s">
        <v>52</v>
      </c>
      <c r="G5" s="8">
        <v>4.0</v>
      </c>
      <c r="H5" s="8" t="s">
        <v>39</v>
      </c>
      <c r="I5" s="8" t="s">
        <v>39</v>
      </c>
      <c r="J5" s="8" t="s">
        <v>40</v>
      </c>
    </row>
    <row r="6">
      <c r="A6" s="7" t="s">
        <v>53</v>
      </c>
      <c r="B6" s="8" t="s">
        <v>54</v>
      </c>
      <c r="C6" s="8" t="s">
        <v>55</v>
      </c>
      <c r="D6" s="8">
        <v>124.0</v>
      </c>
      <c r="E6" s="8" t="s">
        <v>37</v>
      </c>
      <c r="F6" s="8" t="s">
        <v>56</v>
      </c>
      <c r="G6" s="8">
        <v>4.0</v>
      </c>
      <c r="H6" s="8" t="s">
        <v>39</v>
      </c>
      <c r="I6" s="8" t="s">
        <v>40</v>
      </c>
      <c r="J6" s="8" t="s">
        <v>39</v>
      </c>
    </row>
    <row r="7">
      <c r="A7" s="7"/>
      <c r="B7" s="9"/>
      <c r="C7" s="9"/>
      <c r="D7" s="9"/>
      <c r="E7" s="9"/>
      <c r="F7" s="9"/>
      <c r="G7" s="9"/>
      <c r="H7" s="9"/>
      <c r="I7" s="9"/>
      <c r="J7" s="9"/>
    </row>
    <row r="8">
      <c r="A8" s="7"/>
      <c r="B8" s="9"/>
      <c r="C8" s="9"/>
      <c r="D8" s="9"/>
      <c r="E8" s="9"/>
      <c r="F8" s="9"/>
      <c r="G8" s="9"/>
      <c r="H8" s="9"/>
      <c r="I8" s="9"/>
      <c r="J8" s="9"/>
    </row>
    <row r="9">
      <c r="A9" s="7"/>
      <c r="B9" s="9"/>
      <c r="C9" s="9"/>
      <c r="D9" s="9"/>
      <c r="E9" s="9"/>
      <c r="F9" s="9"/>
      <c r="G9" s="9"/>
      <c r="H9" s="9"/>
      <c r="I9" s="9"/>
      <c r="J9" s="9"/>
    </row>
    <row r="10">
      <c r="A10" s="7"/>
      <c r="B10" s="9"/>
      <c r="C10" s="9"/>
      <c r="D10" s="9"/>
      <c r="E10" s="9"/>
      <c r="F10" s="9"/>
      <c r="G10" s="9"/>
      <c r="H10" s="9"/>
      <c r="I10" s="9"/>
      <c r="J10" s="9"/>
    </row>
    <row r="11">
      <c r="A11" s="7"/>
      <c r="B11" s="9"/>
      <c r="C11" s="9"/>
      <c r="D11" s="9"/>
      <c r="E11" s="9"/>
      <c r="F11" s="9"/>
      <c r="G11" s="9"/>
      <c r="H11" s="9"/>
      <c r="I11" s="9"/>
      <c r="J11" s="9"/>
    </row>
    <row r="12">
      <c r="A12" s="7"/>
      <c r="B12" s="9"/>
      <c r="C12" s="9"/>
      <c r="D12" s="9"/>
      <c r="E12" s="9"/>
      <c r="F12" s="9"/>
      <c r="G12" s="9"/>
      <c r="H12" s="9"/>
      <c r="I12" s="9"/>
      <c r="J12" s="9"/>
    </row>
    <row r="13">
      <c r="A13" s="7"/>
      <c r="B13" s="9"/>
      <c r="C13" s="9"/>
      <c r="D13" s="9"/>
      <c r="E13" s="9"/>
      <c r="F13" s="9"/>
      <c r="G13" s="9"/>
      <c r="H13" s="9"/>
      <c r="I13" s="9"/>
      <c r="J13" s="9"/>
    </row>
    <row r="14">
      <c r="A14" s="7"/>
      <c r="B14" s="9"/>
      <c r="C14" s="9"/>
      <c r="D14" s="9"/>
      <c r="E14" s="9"/>
      <c r="F14" s="9"/>
      <c r="G14" s="9"/>
      <c r="H14" s="9"/>
      <c r="I14" s="9"/>
      <c r="J14" s="9"/>
    </row>
    <row r="15">
      <c r="A15" s="7"/>
      <c r="B15" s="9"/>
      <c r="C15" s="9"/>
      <c r="D15" s="9"/>
      <c r="E15" s="9"/>
      <c r="F15" s="9"/>
      <c r="G15" s="9"/>
      <c r="H15" s="9"/>
      <c r="I15" s="9"/>
      <c r="J15" s="9"/>
    </row>
    <row r="16">
      <c r="A16" s="7"/>
      <c r="B16" s="9"/>
      <c r="C16" s="9"/>
      <c r="D16" s="9"/>
      <c r="E16" s="9"/>
      <c r="F16" s="9"/>
      <c r="G16" s="9"/>
      <c r="H16" s="9"/>
      <c r="I16" s="9"/>
      <c r="J16" s="9"/>
    </row>
    <row r="17">
      <c r="A17" s="7"/>
      <c r="B17" s="9"/>
      <c r="C17" s="9"/>
      <c r="D17" s="9"/>
      <c r="E17" s="9"/>
      <c r="F17" s="9"/>
      <c r="G17" s="9"/>
      <c r="H17" s="9"/>
      <c r="I17" s="9"/>
      <c r="J17" s="9"/>
    </row>
    <row r="18">
      <c r="A18" s="7"/>
      <c r="B18" s="9"/>
      <c r="C18" s="9"/>
      <c r="D18" s="9"/>
      <c r="E18" s="9"/>
      <c r="F18" s="9"/>
      <c r="G18" s="9"/>
      <c r="H18" s="9"/>
      <c r="I18" s="9"/>
      <c r="J18" s="9"/>
    </row>
    <row r="19">
      <c r="A19" s="7"/>
      <c r="B19" s="9"/>
      <c r="C19" s="9"/>
      <c r="D19" s="9"/>
      <c r="E19" s="9"/>
      <c r="F19" s="9"/>
      <c r="G19" s="9"/>
      <c r="H19" s="9"/>
      <c r="I19" s="9"/>
      <c r="J19" s="9"/>
    </row>
    <row r="20">
      <c r="A20" s="7"/>
      <c r="B20" s="9"/>
      <c r="C20" s="9"/>
      <c r="D20" s="9"/>
      <c r="E20" s="9"/>
      <c r="F20" s="9"/>
      <c r="G20" s="9"/>
      <c r="H20" s="9"/>
      <c r="I20" s="9"/>
      <c r="J20" s="9"/>
    </row>
    <row r="21" ht="15.75" customHeight="1">
      <c r="A21" s="7"/>
      <c r="B21" s="9"/>
      <c r="C21" s="9"/>
      <c r="D21" s="9"/>
      <c r="E21" s="9"/>
      <c r="F21" s="9"/>
      <c r="G21" s="9"/>
      <c r="H21" s="9"/>
      <c r="I21" s="9"/>
      <c r="J21" s="9"/>
    </row>
    <row r="22" ht="15.75" customHeight="1">
      <c r="A22" s="7"/>
      <c r="B22" s="9"/>
      <c r="C22" s="9"/>
      <c r="D22" s="9"/>
      <c r="E22" s="9"/>
      <c r="F22" s="9"/>
      <c r="G22" s="9"/>
      <c r="H22" s="9"/>
      <c r="I22" s="9"/>
      <c r="J22" s="9"/>
    </row>
    <row r="23" ht="15.75" customHeight="1">
      <c r="A23" s="7"/>
      <c r="B23" s="9"/>
      <c r="C23" s="9"/>
      <c r="D23" s="9"/>
      <c r="E23" s="9"/>
      <c r="F23" s="9"/>
      <c r="G23" s="9"/>
      <c r="H23" s="9"/>
      <c r="I23" s="9"/>
      <c r="J23" s="9"/>
    </row>
    <row r="24" ht="15.75" customHeight="1">
      <c r="A24" s="7"/>
      <c r="B24" s="9"/>
      <c r="C24" s="9"/>
      <c r="D24" s="9"/>
      <c r="E24" s="9"/>
      <c r="F24" s="9"/>
      <c r="G24" s="9"/>
      <c r="H24" s="9"/>
      <c r="I24" s="9"/>
      <c r="J24" s="9"/>
    </row>
    <row r="25" ht="15.75" customHeight="1">
      <c r="A25" s="7"/>
      <c r="B25" s="9"/>
      <c r="C25" s="9"/>
      <c r="D25" s="9"/>
      <c r="E25" s="9"/>
      <c r="F25" s="9"/>
      <c r="G25" s="9"/>
      <c r="H25" s="9"/>
      <c r="I25" s="9"/>
      <c r="J25" s="9"/>
    </row>
    <row r="26" ht="15.75" customHeight="1">
      <c r="A26" s="7"/>
      <c r="B26" s="9"/>
      <c r="C26" s="9"/>
      <c r="D26" s="9"/>
      <c r="E26" s="9"/>
      <c r="F26" s="9"/>
      <c r="G26" s="9"/>
      <c r="H26" s="9"/>
      <c r="I26" s="9"/>
      <c r="J26" s="9"/>
    </row>
    <row r="27" ht="15.75" customHeight="1">
      <c r="A27" s="7"/>
      <c r="B27" s="9"/>
      <c r="C27" s="9"/>
      <c r="D27" s="9"/>
      <c r="E27" s="9"/>
      <c r="F27" s="9"/>
      <c r="G27" s="9"/>
      <c r="H27" s="9"/>
      <c r="I27" s="9"/>
      <c r="J27" s="9"/>
    </row>
    <row r="28" ht="15.75" customHeight="1">
      <c r="A28" s="7"/>
      <c r="B28" s="9"/>
      <c r="C28" s="9"/>
      <c r="D28" s="9"/>
      <c r="E28" s="9"/>
      <c r="F28" s="9"/>
      <c r="G28" s="9"/>
      <c r="H28" s="9"/>
      <c r="I28" s="9"/>
      <c r="J28" s="9"/>
    </row>
    <row r="29" ht="15.75" customHeight="1">
      <c r="A29" s="7"/>
      <c r="B29" s="9"/>
      <c r="C29" s="9"/>
      <c r="D29" s="9"/>
      <c r="E29" s="9"/>
      <c r="F29" s="9"/>
      <c r="G29" s="9"/>
      <c r="H29" s="9"/>
      <c r="I29" s="9"/>
      <c r="J29" s="9"/>
    </row>
    <row r="30" ht="15.75" customHeight="1">
      <c r="A30" s="7"/>
      <c r="B30" s="9"/>
      <c r="C30" s="9"/>
      <c r="D30" s="9"/>
      <c r="E30" s="9"/>
      <c r="F30" s="9"/>
      <c r="G30" s="9"/>
      <c r="H30" s="9"/>
      <c r="I30" s="9"/>
      <c r="J30" s="9"/>
    </row>
    <row r="31" ht="15.75" customHeight="1">
      <c r="A31" s="7"/>
      <c r="B31" s="9"/>
      <c r="C31" s="9"/>
      <c r="D31" s="9"/>
      <c r="E31" s="9"/>
      <c r="F31" s="9"/>
      <c r="G31" s="9"/>
      <c r="H31" s="9"/>
      <c r="I31" s="9"/>
      <c r="J31" s="9"/>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G31">
      <formula1>"1,2,3,4,5"</formula1>
    </dataValidation>
    <dataValidation type="list" allowBlank="1" sqref="C2:C31">
      <formula1>"Financial Statement,Pitch Deck / CIM,Legal / Contract,Scanned Document,Annual Report,Research Report,Multilingual Sample"</formula1>
    </dataValidation>
    <dataValidation type="list" allowBlank="1" sqref="H2:J31">
      <formula1>"Yes,No"</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5.0"/>
    <col customWidth="1" min="2" max="2" width="28.0"/>
    <col customWidth="1" min="3" max="3" width="32.0"/>
    <col customWidth="1" min="4" max="4" width="45.0"/>
    <col customWidth="1" min="5" max="7" width="32.0"/>
    <col customWidth="1" min="8" max="8" width="12.0"/>
    <col customWidth="1" min="9" max="26" width="8.71"/>
  </cols>
  <sheetData>
    <row r="1" ht="30.0" customHeight="1">
      <c r="A1" s="6" t="s">
        <v>57</v>
      </c>
      <c r="B1" s="6" t="s">
        <v>58</v>
      </c>
      <c r="C1" s="6" t="s">
        <v>59</v>
      </c>
      <c r="D1" s="6" t="s">
        <v>60</v>
      </c>
      <c r="E1" s="6" t="s">
        <v>61</v>
      </c>
      <c r="F1" s="6" t="s">
        <v>62</v>
      </c>
      <c r="G1" s="6" t="s">
        <v>63</v>
      </c>
      <c r="H1" s="6" t="s">
        <v>64</v>
      </c>
    </row>
    <row r="2" ht="75.0" customHeight="1">
      <c r="A2" s="10" t="s">
        <v>65</v>
      </c>
      <c r="B2" s="11" t="s">
        <v>66</v>
      </c>
      <c r="C2" s="12" t="s">
        <v>67</v>
      </c>
      <c r="D2" s="12" t="s">
        <v>68</v>
      </c>
      <c r="E2" s="12" t="s">
        <v>69</v>
      </c>
      <c r="F2" s="12" t="s">
        <v>70</v>
      </c>
      <c r="G2" s="12" t="s">
        <v>71</v>
      </c>
      <c r="H2" s="10" t="s">
        <v>72</v>
      </c>
    </row>
    <row r="3" ht="75.0" customHeight="1">
      <c r="A3" s="10" t="s">
        <v>73</v>
      </c>
      <c r="B3" s="11" t="s">
        <v>74</v>
      </c>
      <c r="C3" s="12" t="s">
        <v>75</v>
      </c>
      <c r="D3" s="12" t="s">
        <v>76</v>
      </c>
      <c r="E3" s="12" t="s">
        <v>77</v>
      </c>
      <c r="F3" s="12" t="s">
        <v>78</v>
      </c>
      <c r="G3" s="12" t="s">
        <v>79</v>
      </c>
      <c r="H3" s="10" t="s">
        <v>80</v>
      </c>
    </row>
    <row r="4" ht="75.0" customHeight="1">
      <c r="A4" s="10" t="s">
        <v>81</v>
      </c>
      <c r="B4" s="11" t="s">
        <v>82</v>
      </c>
      <c r="C4" s="12" t="s">
        <v>83</v>
      </c>
      <c r="D4" s="12" t="s">
        <v>84</v>
      </c>
      <c r="E4" s="12" t="s">
        <v>85</v>
      </c>
      <c r="F4" s="12" t="s">
        <v>86</v>
      </c>
      <c r="G4" s="12" t="s">
        <v>87</v>
      </c>
      <c r="H4" s="10" t="s">
        <v>88</v>
      </c>
    </row>
    <row r="5" ht="75.0" customHeight="1">
      <c r="A5" s="10" t="s">
        <v>89</v>
      </c>
      <c r="B5" s="11" t="s">
        <v>90</v>
      </c>
      <c r="C5" s="12" t="s">
        <v>91</v>
      </c>
      <c r="D5" s="12" t="s">
        <v>92</v>
      </c>
      <c r="E5" s="12" t="s">
        <v>93</v>
      </c>
      <c r="F5" s="12" t="s">
        <v>94</v>
      </c>
      <c r="G5" s="12" t="s">
        <v>95</v>
      </c>
      <c r="H5" s="10" t="s">
        <v>88</v>
      </c>
    </row>
    <row r="6" ht="75.0" customHeight="1">
      <c r="A6" s="10" t="s">
        <v>96</v>
      </c>
      <c r="B6" s="11" t="s">
        <v>97</v>
      </c>
      <c r="C6" s="12" t="s">
        <v>98</v>
      </c>
      <c r="D6" s="12" t="s">
        <v>99</v>
      </c>
      <c r="E6" s="12" t="s">
        <v>100</v>
      </c>
      <c r="F6" s="12" t="s">
        <v>101</v>
      </c>
      <c r="G6" s="12" t="s">
        <v>102</v>
      </c>
      <c r="H6" s="10" t="s">
        <v>80</v>
      </c>
    </row>
    <row r="7" ht="75.0" customHeight="1">
      <c r="A7" s="10" t="s">
        <v>103</v>
      </c>
      <c r="B7" s="11" t="s">
        <v>104</v>
      </c>
      <c r="C7" s="12" t="s">
        <v>105</v>
      </c>
      <c r="D7" s="12" t="s">
        <v>106</v>
      </c>
      <c r="E7" s="12" t="s">
        <v>107</v>
      </c>
      <c r="F7" s="12" t="s">
        <v>108</v>
      </c>
      <c r="G7" s="12" t="s">
        <v>109</v>
      </c>
      <c r="H7" s="10" t="s">
        <v>110</v>
      </c>
    </row>
    <row r="8" ht="75.0" customHeight="1">
      <c r="A8" s="10" t="s">
        <v>111</v>
      </c>
      <c r="B8" s="11" t="s">
        <v>112</v>
      </c>
      <c r="C8" s="12" t="s">
        <v>113</v>
      </c>
      <c r="D8" s="12" t="s">
        <v>114</v>
      </c>
      <c r="E8" s="12" t="s">
        <v>115</v>
      </c>
      <c r="F8" s="12" t="s">
        <v>116</v>
      </c>
      <c r="G8" s="12" t="s">
        <v>117</v>
      </c>
      <c r="H8" s="10" t="s">
        <v>118</v>
      </c>
    </row>
    <row r="9" ht="75.0" customHeight="1">
      <c r="A9" s="10" t="s">
        <v>119</v>
      </c>
      <c r="B9" s="11" t="s">
        <v>120</v>
      </c>
      <c r="C9" s="12" t="s">
        <v>121</v>
      </c>
      <c r="D9" s="12" t="s">
        <v>122</v>
      </c>
      <c r="E9" s="12" t="s">
        <v>123</v>
      </c>
      <c r="F9" s="12" t="s">
        <v>124</v>
      </c>
      <c r="G9" s="12" t="s">
        <v>125</v>
      </c>
      <c r="H9" s="10" t="s">
        <v>72</v>
      </c>
    </row>
    <row r="10" ht="75.0" customHeight="1">
      <c r="A10" s="10" t="s">
        <v>126</v>
      </c>
      <c r="B10" s="11" t="s">
        <v>127</v>
      </c>
      <c r="C10" s="12" t="s">
        <v>128</v>
      </c>
      <c r="D10" s="12" t="s">
        <v>129</v>
      </c>
      <c r="E10" s="12" t="s">
        <v>130</v>
      </c>
      <c r="F10" s="12" t="s">
        <v>131</v>
      </c>
      <c r="G10" s="12" t="s">
        <v>132</v>
      </c>
      <c r="H10" s="10" t="s">
        <v>118</v>
      </c>
    </row>
    <row r="11" ht="75.0" customHeight="1">
      <c r="A11" s="10" t="s">
        <v>133</v>
      </c>
      <c r="B11" s="11" t="s">
        <v>134</v>
      </c>
      <c r="C11" s="12" t="s">
        <v>135</v>
      </c>
      <c r="D11" s="12" t="s">
        <v>136</v>
      </c>
      <c r="E11" s="12" t="s">
        <v>137</v>
      </c>
      <c r="F11" s="12" t="s">
        <v>138</v>
      </c>
      <c r="G11" s="12" t="s">
        <v>139</v>
      </c>
      <c r="H11" s="10" t="s">
        <v>140</v>
      </c>
    </row>
    <row r="12" ht="75.0" customHeight="1">
      <c r="A12" s="10" t="s">
        <v>141</v>
      </c>
      <c r="B12" s="11" t="s">
        <v>142</v>
      </c>
      <c r="C12" s="12" t="s">
        <v>143</v>
      </c>
      <c r="D12" s="12" t="s">
        <v>144</v>
      </c>
      <c r="E12" s="12" t="s">
        <v>145</v>
      </c>
      <c r="F12" s="12" t="s">
        <v>146</v>
      </c>
      <c r="G12" s="12" t="s">
        <v>147</v>
      </c>
      <c r="H12" s="10" t="s">
        <v>110</v>
      </c>
    </row>
    <row r="13" ht="75.0" customHeight="1">
      <c r="A13" s="10" t="s">
        <v>148</v>
      </c>
      <c r="B13" s="11" t="s">
        <v>149</v>
      </c>
      <c r="C13" s="12" t="s">
        <v>150</v>
      </c>
      <c r="D13" s="12" t="s">
        <v>151</v>
      </c>
      <c r="E13" s="12" t="s">
        <v>152</v>
      </c>
      <c r="F13" s="12" t="s">
        <v>153</v>
      </c>
      <c r="G13" s="12" t="s">
        <v>154</v>
      </c>
      <c r="H13" s="10" t="s">
        <v>118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0.0"/>
    <col customWidth="1" min="2" max="2" width="28.43"/>
    <col customWidth="1" min="3" max="14" width="13.0"/>
    <col customWidth="1" min="15" max="15" width="14.0"/>
    <col customWidth="1" min="16" max="16" width="13.71"/>
    <col customWidth="1" min="17" max="17" width="50.0"/>
    <col customWidth="1" min="18" max="26" width="8.71"/>
  </cols>
  <sheetData>
    <row r="1" ht="45.0" customHeight="1">
      <c r="A1" s="6" t="s">
        <v>24</v>
      </c>
      <c r="B1" s="6" t="s">
        <v>155</v>
      </c>
      <c r="C1" s="6" t="s">
        <v>156</v>
      </c>
      <c r="D1" s="6" t="s">
        <v>157</v>
      </c>
      <c r="E1" s="6" t="s">
        <v>158</v>
      </c>
      <c r="F1" s="6" t="s">
        <v>159</v>
      </c>
      <c r="G1" s="6" t="s">
        <v>160</v>
      </c>
      <c r="H1" s="6" t="s">
        <v>161</v>
      </c>
      <c r="I1" s="6" t="s">
        <v>162</v>
      </c>
      <c r="J1" s="6" t="s">
        <v>163</v>
      </c>
      <c r="K1" s="6" t="s">
        <v>164</v>
      </c>
      <c r="L1" s="6" t="s">
        <v>165</v>
      </c>
      <c r="M1" s="6" t="s">
        <v>166</v>
      </c>
      <c r="N1" s="6" t="s">
        <v>167</v>
      </c>
      <c r="O1" s="6" t="s">
        <v>168</v>
      </c>
      <c r="P1" s="13" t="s">
        <v>169</v>
      </c>
      <c r="Q1" s="14" t="s">
        <v>170</v>
      </c>
    </row>
    <row r="2">
      <c r="A2" s="15" t="s">
        <v>34</v>
      </c>
      <c r="B2" s="8" t="s">
        <v>171</v>
      </c>
      <c r="C2" s="16">
        <v>4.0</v>
      </c>
      <c r="D2" s="16">
        <v>4.0</v>
      </c>
      <c r="E2" s="16">
        <v>3.0</v>
      </c>
      <c r="F2" s="16">
        <v>3.0</v>
      </c>
      <c r="G2" s="16">
        <v>4.0</v>
      </c>
      <c r="H2" s="16">
        <v>4.0</v>
      </c>
      <c r="I2" s="16" t="s">
        <v>172</v>
      </c>
      <c r="J2" s="16">
        <v>3.0</v>
      </c>
      <c r="K2" s="16">
        <v>4.0</v>
      </c>
      <c r="L2" s="16">
        <v>4.0</v>
      </c>
      <c r="M2" s="16" t="s">
        <v>172</v>
      </c>
      <c r="N2" s="16">
        <v>3.0</v>
      </c>
      <c r="O2" s="17">
        <f t="shared" ref="O2:O201" si="1">IFERROR(AVERAGE(C2:N2),"")</f>
        <v>3.6</v>
      </c>
      <c r="P2" s="18" t="s">
        <v>173</v>
      </c>
      <c r="Q2" s="19" t="s">
        <v>174</v>
      </c>
    </row>
    <row r="3">
      <c r="A3" s="15" t="s">
        <v>41</v>
      </c>
      <c r="B3" s="8" t="s">
        <v>171</v>
      </c>
      <c r="C3" s="16">
        <v>3.0</v>
      </c>
      <c r="D3" s="16">
        <v>4.0</v>
      </c>
      <c r="E3" s="16" t="s">
        <v>172</v>
      </c>
      <c r="F3" s="16" t="s">
        <v>172</v>
      </c>
      <c r="G3" s="16">
        <v>4.0</v>
      </c>
      <c r="H3" s="16">
        <v>4.0</v>
      </c>
      <c r="I3" s="16">
        <v>4.0</v>
      </c>
      <c r="J3" s="16">
        <v>4.0</v>
      </c>
      <c r="K3" s="16">
        <v>5.0</v>
      </c>
      <c r="L3" s="16">
        <v>4.0</v>
      </c>
      <c r="M3" s="16" t="s">
        <v>172</v>
      </c>
      <c r="N3" s="16">
        <v>4.0</v>
      </c>
      <c r="O3" s="17">
        <f t="shared" si="1"/>
        <v>4</v>
      </c>
      <c r="P3" s="18" t="s">
        <v>175</v>
      </c>
      <c r="Q3" s="19" t="s">
        <v>176</v>
      </c>
    </row>
    <row r="4">
      <c r="A4" s="15" t="s">
        <v>45</v>
      </c>
      <c r="B4" s="8" t="s">
        <v>171</v>
      </c>
      <c r="C4" s="16">
        <v>4.0</v>
      </c>
      <c r="D4" s="16">
        <v>5.0</v>
      </c>
      <c r="E4" s="16" t="s">
        <v>172</v>
      </c>
      <c r="F4" s="16" t="s">
        <v>172</v>
      </c>
      <c r="G4" s="16">
        <v>4.0</v>
      </c>
      <c r="H4" s="16" t="s">
        <v>172</v>
      </c>
      <c r="I4" s="16" t="s">
        <v>172</v>
      </c>
      <c r="J4" s="16">
        <v>4.0</v>
      </c>
      <c r="K4" s="16">
        <v>5.0</v>
      </c>
      <c r="L4" s="16">
        <v>4.0</v>
      </c>
      <c r="M4" s="16" t="s">
        <v>172</v>
      </c>
      <c r="N4" s="16">
        <v>4.0</v>
      </c>
      <c r="O4" s="17">
        <f t="shared" si="1"/>
        <v>4.285714286</v>
      </c>
      <c r="P4" s="18" t="s">
        <v>177</v>
      </c>
      <c r="Q4" s="19" t="s">
        <v>178</v>
      </c>
    </row>
    <row r="5">
      <c r="A5" s="15" t="s">
        <v>49</v>
      </c>
      <c r="B5" s="8" t="s">
        <v>171</v>
      </c>
      <c r="C5" s="16">
        <v>3.0</v>
      </c>
      <c r="D5" s="16">
        <v>3.0</v>
      </c>
      <c r="E5" s="16">
        <v>2.0</v>
      </c>
      <c r="F5" s="16">
        <v>3.0</v>
      </c>
      <c r="G5" s="16">
        <v>3.0</v>
      </c>
      <c r="H5" s="16" t="s">
        <v>172</v>
      </c>
      <c r="I5" s="16">
        <v>3.0</v>
      </c>
      <c r="J5" s="16">
        <v>3.0</v>
      </c>
      <c r="K5" s="16">
        <v>3.0</v>
      </c>
      <c r="L5" s="16">
        <v>3.0</v>
      </c>
      <c r="M5" s="16" t="s">
        <v>172</v>
      </c>
      <c r="N5" s="16">
        <v>3.0</v>
      </c>
      <c r="O5" s="17">
        <f t="shared" si="1"/>
        <v>2.9</v>
      </c>
      <c r="P5" s="18" t="s">
        <v>179</v>
      </c>
      <c r="Q5" s="19" t="s">
        <v>180</v>
      </c>
    </row>
    <row r="6">
      <c r="A6" s="15" t="s">
        <v>53</v>
      </c>
      <c r="B6" s="8" t="s">
        <v>171</v>
      </c>
      <c r="C6" s="16">
        <v>4.0</v>
      </c>
      <c r="D6" s="16">
        <v>4.0</v>
      </c>
      <c r="E6" s="16">
        <v>4.0</v>
      </c>
      <c r="F6" s="16">
        <v>3.0</v>
      </c>
      <c r="G6" s="16">
        <v>4.0</v>
      </c>
      <c r="H6" s="16">
        <v>2.0</v>
      </c>
      <c r="I6" s="16" t="s">
        <v>172</v>
      </c>
      <c r="J6" s="16">
        <v>3.0</v>
      </c>
      <c r="K6" s="16">
        <v>3.0</v>
      </c>
      <c r="L6" s="16">
        <v>3.0</v>
      </c>
      <c r="M6" s="16" t="s">
        <v>172</v>
      </c>
      <c r="N6" s="16">
        <v>4.0</v>
      </c>
      <c r="O6" s="17">
        <f t="shared" si="1"/>
        <v>3.4</v>
      </c>
      <c r="P6" s="18" t="s">
        <v>181</v>
      </c>
      <c r="Q6" s="19" t="s">
        <v>182</v>
      </c>
    </row>
    <row r="7">
      <c r="A7" s="15" t="s">
        <v>34</v>
      </c>
      <c r="B7" s="8" t="s">
        <v>183</v>
      </c>
      <c r="C7" s="16">
        <v>4.0</v>
      </c>
      <c r="D7" s="16">
        <v>5.0</v>
      </c>
      <c r="E7" s="16">
        <v>5.0</v>
      </c>
      <c r="F7" s="16">
        <v>4.0</v>
      </c>
      <c r="G7" s="16">
        <v>4.0</v>
      </c>
      <c r="H7" s="16">
        <v>2.0</v>
      </c>
      <c r="I7" s="16" t="s">
        <v>172</v>
      </c>
      <c r="J7" s="16">
        <v>4.0</v>
      </c>
      <c r="K7" s="16">
        <v>4.0</v>
      </c>
      <c r="L7" s="16">
        <v>4.0</v>
      </c>
      <c r="M7" s="16" t="s">
        <v>172</v>
      </c>
      <c r="N7" s="16">
        <v>4.0</v>
      </c>
      <c r="O7" s="17">
        <f t="shared" si="1"/>
        <v>4</v>
      </c>
      <c r="P7" s="18" t="s">
        <v>184</v>
      </c>
      <c r="Q7" s="19" t="s">
        <v>185</v>
      </c>
    </row>
    <row r="8">
      <c r="A8" s="15" t="s">
        <v>41</v>
      </c>
      <c r="B8" s="8" t="s">
        <v>183</v>
      </c>
      <c r="C8" s="16">
        <v>4.0</v>
      </c>
      <c r="D8" s="16">
        <v>4.0</v>
      </c>
      <c r="E8" s="16" t="s">
        <v>172</v>
      </c>
      <c r="F8" s="16" t="s">
        <v>172</v>
      </c>
      <c r="G8" s="16">
        <v>4.0</v>
      </c>
      <c r="H8" s="16">
        <v>2.0</v>
      </c>
      <c r="I8" s="16">
        <v>4.0</v>
      </c>
      <c r="J8" s="16">
        <v>4.0</v>
      </c>
      <c r="K8" s="16">
        <v>4.0</v>
      </c>
      <c r="L8" s="16">
        <v>3.0</v>
      </c>
      <c r="M8" s="16" t="s">
        <v>172</v>
      </c>
      <c r="N8" s="16">
        <v>3.0</v>
      </c>
      <c r="O8" s="17">
        <f t="shared" si="1"/>
        <v>3.555555556</v>
      </c>
      <c r="P8" s="18" t="s">
        <v>186</v>
      </c>
      <c r="Q8" s="19" t="s">
        <v>187</v>
      </c>
    </row>
    <row r="9">
      <c r="A9" s="15" t="s">
        <v>45</v>
      </c>
      <c r="B9" s="8" t="s">
        <v>183</v>
      </c>
      <c r="C9" s="16">
        <v>4.0</v>
      </c>
      <c r="D9" s="16">
        <v>4.0</v>
      </c>
      <c r="E9" s="16" t="s">
        <v>172</v>
      </c>
      <c r="F9" s="16" t="s">
        <v>172</v>
      </c>
      <c r="G9" s="16">
        <v>5.0</v>
      </c>
      <c r="H9" s="16" t="s">
        <v>172</v>
      </c>
      <c r="I9" s="16" t="s">
        <v>172</v>
      </c>
      <c r="J9" s="16">
        <v>4.0</v>
      </c>
      <c r="K9" s="16">
        <v>3.0</v>
      </c>
      <c r="L9" s="16">
        <v>3.0</v>
      </c>
      <c r="M9" s="16" t="s">
        <v>172</v>
      </c>
      <c r="N9" s="16">
        <v>4.0</v>
      </c>
      <c r="O9" s="17">
        <f t="shared" si="1"/>
        <v>3.857142857</v>
      </c>
      <c r="P9" s="18" t="s">
        <v>188</v>
      </c>
      <c r="Q9" s="19" t="s">
        <v>189</v>
      </c>
    </row>
    <row r="10">
      <c r="A10" s="15" t="s">
        <v>49</v>
      </c>
      <c r="B10" s="8" t="s">
        <v>183</v>
      </c>
      <c r="C10" s="16">
        <v>2.0</v>
      </c>
      <c r="D10" s="16">
        <v>3.0</v>
      </c>
      <c r="E10" s="16">
        <v>2.0</v>
      </c>
      <c r="F10" s="16">
        <v>3.0</v>
      </c>
      <c r="G10" s="16">
        <v>3.0</v>
      </c>
      <c r="H10" s="16" t="s">
        <v>172</v>
      </c>
      <c r="I10" s="16">
        <v>3.0</v>
      </c>
      <c r="J10" s="16">
        <v>3.0</v>
      </c>
      <c r="K10" s="16">
        <v>3.0</v>
      </c>
      <c r="L10" s="16">
        <v>2.0</v>
      </c>
      <c r="M10" s="16" t="s">
        <v>172</v>
      </c>
      <c r="N10" s="16">
        <v>3.0</v>
      </c>
      <c r="O10" s="17">
        <f t="shared" si="1"/>
        <v>2.7</v>
      </c>
      <c r="P10" s="18" t="s">
        <v>190</v>
      </c>
      <c r="Q10" s="19" t="s">
        <v>191</v>
      </c>
    </row>
    <row r="11">
      <c r="A11" s="15" t="s">
        <v>53</v>
      </c>
      <c r="B11" s="8" t="s">
        <v>183</v>
      </c>
      <c r="C11" s="16">
        <v>4.0</v>
      </c>
      <c r="D11" s="16">
        <v>4.0</v>
      </c>
      <c r="E11" s="16">
        <v>5.0</v>
      </c>
      <c r="F11" s="16">
        <v>4.0</v>
      </c>
      <c r="G11" s="16">
        <v>4.0</v>
      </c>
      <c r="H11" s="16">
        <v>2.0</v>
      </c>
      <c r="I11" s="16" t="s">
        <v>172</v>
      </c>
      <c r="J11" s="16">
        <v>3.0</v>
      </c>
      <c r="K11" s="16">
        <v>4.0</v>
      </c>
      <c r="L11" s="16">
        <v>4.0</v>
      </c>
      <c r="M11" s="16" t="s">
        <v>172</v>
      </c>
      <c r="N11" s="16">
        <v>4.0</v>
      </c>
      <c r="O11" s="17">
        <f t="shared" si="1"/>
        <v>3.8</v>
      </c>
      <c r="P11" s="18" t="s">
        <v>192</v>
      </c>
      <c r="Q11" s="19" t="s">
        <v>193</v>
      </c>
    </row>
    <row r="12">
      <c r="A12" s="15" t="s">
        <v>34</v>
      </c>
      <c r="B12" s="8" t="s">
        <v>194</v>
      </c>
      <c r="C12" s="16">
        <v>4.0</v>
      </c>
      <c r="D12" s="16">
        <v>4.0</v>
      </c>
      <c r="E12" s="16">
        <v>2.0</v>
      </c>
      <c r="F12" s="16">
        <v>3.0</v>
      </c>
      <c r="G12" s="16">
        <v>3.0</v>
      </c>
      <c r="H12" s="16">
        <v>2.0</v>
      </c>
      <c r="I12" s="16" t="s">
        <v>172</v>
      </c>
      <c r="J12" s="16">
        <v>3.0</v>
      </c>
      <c r="K12" s="16">
        <v>3.0</v>
      </c>
      <c r="L12" s="16">
        <v>3.0</v>
      </c>
      <c r="M12" s="16" t="s">
        <v>172</v>
      </c>
      <c r="N12" s="16">
        <v>4.0</v>
      </c>
      <c r="O12" s="17">
        <f t="shared" si="1"/>
        <v>3.1</v>
      </c>
      <c r="P12" s="18" t="s">
        <v>195</v>
      </c>
      <c r="Q12" s="19" t="s">
        <v>196</v>
      </c>
    </row>
    <row r="13">
      <c r="A13" s="15" t="s">
        <v>41</v>
      </c>
      <c r="B13" s="8" t="s">
        <v>194</v>
      </c>
      <c r="C13" s="16">
        <v>1.0</v>
      </c>
      <c r="D13" s="16">
        <v>1.0</v>
      </c>
      <c r="E13" s="16">
        <v>1.0</v>
      </c>
      <c r="F13" s="16">
        <v>1.0</v>
      </c>
      <c r="G13" s="16">
        <v>1.0</v>
      </c>
      <c r="H13" s="16">
        <v>1.0</v>
      </c>
      <c r="I13" s="16">
        <v>1.0</v>
      </c>
      <c r="J13" s="16">
        <v>1.0</v>
      </c>
      <c r="K13" s="16">
        <v>2.0</v>
      </c>
      <c r="L13" s="16">
        <v>3.0</v>
      </c>
      <c r="M13" s="16" t="s">
        <v>172</v>
      </c>
      <c r="N13" s="16">
        <v>1.0</v>
      </c>
      <c r="O13" s="17">
        <f t="shared" si="1"/>
        <v>1.272727273</v>
      </c>
      <c r="P13" s="18" t="s">
        <v>197</v>
      </c>
      <c r="Q13" s="19" t="s">
        <v>198</v>
      </c>
    </row>
    <row r="14">
      <c r="A14" s="15" t="s">
        <v>45</v>
      </c>
      <c r="B14" s="8" t="s">
        <v>194</v>
      </c>
      <c r="C14" s="16">
        <v>4.0</v>
      </c>
      <c r="D14" s="16">
        <v>2.0</v>
      </c>
      <c r="E14" s="16" t="s">
        <v>172</v>
      </c>
      <c r="F14" s="16" t="s">
        <v>172</v>
      </c>
      <c r="G14" s="16">
        <v>3.0</v>
      </c>
      <c r="H14" s="16" t="s">
        <v>172</v>
      </c>
      <c r="I14" s="16" t="s">
        <v>172</v>
      </c>
      <c r="J14" s="16">
        <v>2.0</v>
      </c>
      <c r="K14" s="16">
        <v>3.0</v>
      </c>
      <c r="L14" s="16">
        <v>3.0</v>
      </c>
      <c r="M14" s="16" t="s">
        <v>172</v>
      </c>
      <c r="N14" s="16">
        <v>3.0</v>
      </c>
      <c r="O14" s="17">
        <f t="shared" si="1"/>
        <v>2.857142857</v>
      </c>
      <c r="P14" s="18" t="s">
        <v>199</v>
      </c>
      <c r="Q14" s="19" t="s">
        <v>200</v>
      </c>
    </row>
    <row r="15">
      <c r="A15" s="15" t="s">
        <v>49</v>
      </c>
      <c r="B15" s="8" t="s">
        <v>194</v>
      </c>
      <c r="C15" s="16">
        <v>1.0</v>
      </c>
      <c r="D15" s="16">
        <v>1.0</v>
      </c>
      <c r="E15" s="16">
        <v>1.0</v>
      </c>
      <c r="F15" s="16">
        <v>1.0</v>
      </c>
      <c r="G15" s="16">
        <v>1.0</v>
      </c>
      <c r="H15" s="16">
        <v>1.0</v>
      </c>
      <c r="I15" s="16">
        <v>1.0</v>
      </c>
      <c r="J15" s="16">
        <v>1.0</v>
      </c>
      <c r="K15" s="16">
        <v>1.0</v>
      </c>
      <c r="L15" s="16">
        <v>1.0</v>
      </c>
      <c r="M15" s="16" t="s">
        <v>172</v>
      </c>
      <c r="N15" s="16">
        <v>1.0</v>
      </c>
      <c r="O15" s="17">
        <f t="shared" si="1"/>
        <v>1</v>
      </c>
      <c r="P15" s="18" t="s">
        <v>201</v>
      </c>
      <c r="Q15" s="19" t="s">
        <v>202</v>
      </c>
    </row>
    <row r="16">
      <c r="A16" s="15" t="s">
        <v>53</v>
      </c>
      <c r="B16" s="8" t="s">
        <v>194</v>
      </c>
      <c r="C16" s="16">
        <v>3.0</v>
      </c>
      <c r="D16" s="16">
        <v>2.0</v>
      </c>
      <c r="E16" s="16">
        <v>2.0</v>
      </c>
      <c r="F16" s="16">
        <v>3.0</v>
      </c>
      <c r="G16" s="16">
        <v>3.0</v>
      </c>
      <c r="H16" s="16">
        <v>2.0</v>
      </c>
      <c r="I16" s="16" t="s">
        <v>172</v>
      </c>
      <c r="J16" s="16">
        <v>2.0</v>
      </c>
      <c r="K16" s="16">
        <v>2.0</v>
      </c>
      <c r="L16" s="16">
        <v>3.0</v>
      </c>
      <c r="M16" s="16" t="s">
        <v>172</v>
      </c>
      <c r="N16" s="16">
        <v>3.0</v>
      </c>
      <c r="O16" s="17">
        <f t="shared" si="1"/>
        <v>2.5</v>
      </c>
      <c r="P16" s="18" t="s">
        <v>203</v>
      </c>
      <c r="Q16" s="19" t="s">
        <v>204</v>
      </c>
    </row>
    <row r="17">
      <c r="A17" s="15" t="s">
        <v>34</v>
      </c>
      <c r="B17" s="8" t="s">
        <v>205</v>
      </c>
      <c r="C17" s="16">
        <v>4.0</v>
      </c>
      <c r="D17" s="16">
        <v>5.0</v>
      </c>
      <c r="E17" s="16">
        <v>2.0</v>
      </c>
      <c r="F17" s="16">
        <v>4.0</v>
      </c>
      <c r="G17" s="16">
        <v>4.0</v>
      </c>
      <c r="H17" s="16">
        <v>3.0</v>
      </c>
      <c r="I17" s="16" t="s">
        <v>172</v>
      </c>
      <c r="J17" s="16">
        <v>4.0</v>
      </c>
      <c r="K17" s="16">
        <v>3.0</v>
      </c>
      <c r="L17" s="16">
        <v>3.0</v>
      </c>
      <c r="M17" s="16" t="s">
        <v>172</v>
      </c>
      <c r="N17" s="16">
        <v>4.0</v>
      </c>
      <c r="O17" s="17">
        <f t="shared" si="1"/>
        <v>3.6</v>
      </c>
      <c r="P17" s="18" t="s">
        <v>206</v>
      </c>
      <c r="Q17" s="19" t="s">
        <v>207</v>
      </c>
    </row>
    <row r="18">
      <c r="A18" s="15" t="s">
        <v>41</v>
      </c>
      <c r="B18" s="8" t="s">
        <v>205</v>
      </c>
      <c r="C18" s="16">
        <v>1.0</v>
      </c>
      <c r="D18" s="16">
        <v>3.0</v>
      </c>
      <c r="E18" s="16">
        <v>1.0</v>
      </c>
      <c r="F18" s="16">
        <v>1.0</v>
      </c>
      <c r="G18" s="16">
        <v>2.0</v>
      </c>
      <c r="H18" s="16">
        <v>2.0</v>
      </c>
      <c r="I18" s="16">
        <v>1.0</v>
      </c>
      <c r="J18" s="16">
        <v>1.0</v>
      </c>
      <c r="K18" s="16">
        <v>2.0</v>
      </c>
      <c r="L18" s="16">
        <v>2.0</v>
      </c>
      <c r="M18" s="16" t="s">
        <v>172</v>
      </c>
      <c r="N18" s="16">
        <v>2.0</v>
      </c>
      <c r="O18" s="17">
        <f t="shared" si="1"/>
        <v>1.636363636</v>
      </c>
      <c r="P18" s="18" t="s">
        <v>208</v>
      </c>
      <c r="Q18" s="19" t="s">
        <v>209</v>
      </c>
    </row>
    <row r="19">
      <c r="A19" s="15" t="s">
        <v>45</v>
      </c>
      <c r="B19" s="8" t="s">
        <v>205</v>
      </c>
      <c r="C19" s="16">
        <v>5.0</v>
      </c>
      <c r="D19" s="16">
        <v>4.0</v>
      </c>
      <c r="E19" s="16" t="s">
        <v>172</v>
      </c>
      <c r="F19" s="16" t="s">
        <v>172</v>
      </c>
      <c r="G19" s="16">
        <v>3.0</v>
      </c>
      <c r="H19" s="16" t="s">
        <v>172</v>
      </c>
      <c r="I19" s="16" t="s">
        <v>172</v>
      </c>
      <c r="J19" s="16">
        <v>4.0</v>
      </c>
      <c r="K19" s="16">
        <v>4.0</v>
      </c>
      <c r="L19" s="16">
        <v>4.0</v>
      </c>
      <c r="M19" s="16" t="s">
        <v>172</v>
      </c>
      <c r="N19" s="16">
        <v>4.0</v>
      </c>
      <c r="O19" s="17">
        <f t="shared" si="1"/>
        <v>4</v>
      </c>
      <c r="P19" s="18" t="s">
        <v>210</v>
      </c>
      <c r="Q19" s="19" t="s">
        <v>211</v>
      </c>
    </row>
    <row r="20">
      <c r="A20" s="15" t="s">
        <v>49</v>
      </c>
      <c r="B20" s="8" t="s">
        <v>205</v>
      </c>
      <c r="C20" s="16">
        <v>1.0</v>
      </c>
      <c r="D20" s="16">
        <v>2.0</v>
      </c>
      <c r="E20" s="16">
        <v>1.0</v>
      </c>
      <c r="F20" s="16">
        <v>1.0</v>
      </c>
      <c r="G20" s="16">
        <v>1.0</v>
      </c>
      <c r="H20" s="16">
        <v>2.0</v>
      </c>
      <c r="I20" s="16">
        <v>1.0</v>
      </c>
      <c r="J20" s="16">
        <v>1.0</v>
      </c>
      <c r="K20" s="16">
        <v>2.0</v>
      </c>
      <c r="L20" s="16">
        <v>2.0</v>
      </c>
      <c r="M20" s="16" t="s">
        <v>172</v>
      </c>
      <c r="N20" s="16">
        <v>2.0</v>
      </c>
      <c r="O20" s="17">
        <f t="shared" si="1"/>
        <v>1.454545455</v>
      </c>
      <c r="P20" s="18" t="s">
        <v>212</v>
      </c>
      <c r="Q20" s="19" t="s">
        <v>213</v>
      </c>
    </row>
    <row r="21" ht="15.75" customHeight="1">
      <c r="A21" s="15" t="s">
        <v>53</v>
      </c>
      <c r="B21" s="8" t="s">
        <v>205</v>
      </c>
      <c r="C21" s="16">
        <v>4.0</v>
      </c>
      <c r="D21" s="16">
        <v>3.0</v>
      </c>
      <c r="E21" s="16">
        <v>2.0</v>
      </c>
      <c r="F21" s="16">
        <v>4.0</v>
      </c>
      <c r="G21" s="16">
        <v>4.0</v>
      </c>
      <c r="H21" s="16">
        <v>3.0</v>
      </c>
      <c r="I21" s="16" t="s">
        <v>172</v>
      </c>
      <c r="J21" s="16">
        <v>3.0</v>
      </c>
      <c r="K21" s="16">
        <v>3.0</v>
      </c>
      <c r="L21" s="16">
        <v>3.0</v>
      </c>
      <c r="M21" s="16" t="s">
        <v>172</v>
      </c>
      <c r="N21" s="16">
        <v>3.0</v>
      </c>
      <c r="O21" s="17">
        <f t="shared" si="1"/>
        <v>3.2</v>
      </c>
      <c r="P21" s="18" t="s">
        <v>214</v>
      </c>
      <c r="Q21" s="19" t="s">
        <v>215</v>
      </c>
    </row>
    <row r="22" ht="15.75" customHeight="1">
      <c r="A22" s="15" t="s">
        <v>34</v>
      </c>
      <c r="B22" s="8" t="s">
        <v>216</v>
      </c>
      <c r="C22" s="16">
        <v>3.0</v>
      </c>
      <c r="D22" s="16">
        <v>4.0</v>
      </c>
      <c r="E22" s="16">
        <v>4.0</v>
      </c>
      <c r="F22" s="16">
        <v>4.0</v>
      </c>
      <c r="G22" s="16">
        <v>4.0</v>
      </c>
      <c r="H22" s="16">
        <v>4.0</v>
      </c>
      <c r="I22" s="16" t="s">
        <v>172</v>
      </c>
      <c r="J22" s="16">
        <v>3.0</v>
      </c>
      <c r="K22" s="16">
        <v>4.0</v>
      </c>
      <c r="L22" s="16">
        <v>4.0</v>
      </c>
      <c r="M22" s="16" t="s">
        <v>172</v>
      </c>
      <c r="N22" s="16">
        <v>4.0</v>
      </c>
      <c r="O22" s="17">
        <f t="shared" si="1"/>
        <v>3.8</v>
      </c>
      <c r="P22" s="18" t="s">
        <v>217</v>
      </c>
      <c r="Q22" s="19" t="s">
        <v>218</v>
      </c>
    </row>
    <row r="23" ht="15.75" customHeight="1">
      <c r="A23" s="15" t="s">
        <v>41</v>
      </c>
      <c r="B23" s="8" t="s">
        <v>216</v>
      </c>
      <c r="C23" s="16">
        <v>3.0</v>
      </c>
      <c r="D23" s="16">
        <v>2.0</v>
      </c>
      <c r="E23" s="16" t="s">
        <v>172</v>
      </c>
      <c r="F23" s="16" t="s">
        <v>172</v>
      </c>
      <c r="G23" s="16">
        <v>3.0</v>
      </c>
      <c r="H23" s="16">
        <v>2.0</v>
      </c>
      <c r="I23" s="16">
        <v>3.0</v>
      </c>
      <c r="J23" s="16">
        <v>3.0</v>
      </c>
      <c r="K23" s="16">
        <v>3.0</v>
      </c>
      <c r="L23" s="16">
        <v>3.0</v>
      </c>
      <c r="M23" s="16" t="s">
        <v>172</v>
      </c>
      <c r="N23" s="16">
        <v>3.0</v>
      </c>
      <c r="O23" s="17">
        <f t="shared" si="1"/>
        <v>2.777777778</v>
      </c>
      <c r="P23" s="18" t="s">
        <v>219</v>
      </c>
      <c r="Q23" s="19" t="s">
        <v>220</v>
      </c>
    </row>
    <row r="24" ht="15.75" customHeight="1">
      <c r="A24" s="15" t="s">
        <v>45</v>
      </c>
      <c r="B24" s="8" t="s">
        <v>216</v>
      </c>
      <c r="C24" s="16">
        <v>4.0</v>
      </c>
      <c r="D24" s="16">
        <v>4.0</v>
      </c>
      <c r="E24" s="16" t="s">
        <v>172</v>
      </c>
      <c r="F24" s="16" t="s">
        <v>172</v>
      </c>
      <c r="G24" s="16">
        <v>4.0</v>
      </c>
      <c r="H24" s="16" t="s">
        <v>172</v>
      </c>
      <c r="I24" s="16" t="s">
        <v>172</v>
      </c>
      <c r="J24" s="16">
        <v>4.0</v>
      </c>
      <c r="K24" s="16">
        <v>4.0</v>
      </c>
      <c r="L24" s="16">
        <v>4.0</v>
      </c>
      <c r="M24" s="16" t="s">
        <v>172</v>
      </c>
      <c r="N24" s="16">
        <v>4.0</v>
      </c>
      <c r="O24" s="17">
        <f t="shared" si="1"/>
        <v>4</v>
      </c>
      <c r="P24" s="18" t="s">
        <v>221</v>
      </c>
      <c r="Q24" s="19" t="s">
        <v>222</v>
      </c>
    </row>
    <row r="25" ht="15.75" customHeight="1">
      <c r="A25" s="15" t="s">
        <v>49</v>
      </c>
      <c r="B25" s="8" t="s">
        <v>216</v>
      </c>
      <c r="C25" s="16">
        <v>3.0</v>
      </c>
      <c r="D25" s="16">
        <v>3.0</v>
      </c>
      <c r="E25" s="16">
        <v>2.0</v>
      </c>
      <c r="F25" s="16">
        <v>2.0</v>
      </c>
      <c r="G25" s="16">
        <v>3.0</v>
      </c>
      <c r="H25" s="16">
        <v>2.0</v>
      </c>
      <c r="I25" s="16">
        <v>3.0</v>
      </c>
      <c r="J25" s="16">
        <v>3.0</v>
      </c>
      <c r="K25" s="16">
        <v>4.0</v>
      </c>
      <c r="L25" s="16">
        <v>3.0</v>
      </c>
      <c r="M25" s="16" t="s">
        <v>172</v>
      </c>
      <c r="N25" s="16">
        <v>3.0</v>
      </c>
      <c r="O25" s="17">
        <f t="shared" si="1"/>
        <v>2.818181818</v>
      </c>
      <c r="P25" s="18" t="s">
        <v>223</v>
      </c>
      <c r="Q25" s="19" t="s">
        <v>224</v>
      </c>
    </row>
    <row r="26" ht="15.75" customHeight="1">
      <c r="A26" s="15" t="s">
        <v>53</v>
      </c>
      <c r="B26" s="8" t="s">
        <v>216</v>
      </c>
      <c r="C26" s="16">
        <v>5.0</v>
      </c>
      <c r="D26" s="16">
        <v>4.0</v>
      </c>
      <c r="E26" s="16">
        <v>4.0</v>
      </c>
      <c r="F26" s="16">
        <v>5.0</v>
      </c>
      <c r="G26" s="16">
        <v>5.0</v>
      </c>
      <c r="H26" s="16">
        <v>4.0</v>
      </c>
      <c r="I26" s="16" t="s">
        <v>172</v>
      </c>
      <c r="J26" s="16">
        <v>4.0</v>
      </c>
      <c r="K26" s="16">
        <v>4.0</v>
      </c>
      <c r="L26" s="16">
        <v>4.0</v>
      </c>
      <c r="M26" s="16" t="s">
        <v>172</v>
      </c>
      <c r="N26" s="16">
        <v>4.0</v>
      </c>
      <c r="O26" s="17">
        <f t="shared" si="1"/>
        <v>4.3</v>
      </c>
      <c r="P26" s="18" t="s">
        <v>225</v>
      </c>
      <c r="Q26" s="19" t="s">
        <v>226</v>
      </c>
    </row>
    <row r="27" ht="15.75" customHeight="1">
      <c r="A27" s="15" t="s">
        <v>34</v>
      </c>
      <c r="B27" s="8" t="s">
        <v>227</v>
      </c>
      <c r="C27" s="16">
        <v>5.0</v>
      </c>
      <c r="D27" s="16">
        <v>5.0</v>
      </c>
      <c r="E27" s="16">
        <v>5.0</v>
      </c>
      <c r="F27" s="16">
        <v>4.0</v>
      </c>
      <c r="G27" s="16">
        <v>2.0</v>
      </c>
      <c r="H27" s="16">
        <v>3.0</v>
      </c>
      <c r="I27" s="16" t="s">
        <v>172</v>
      </c>
      <c r="J27" s="16">
        <v>4.0</v>
      </c>
      <c r="K27" s="16">
        <v>4.0</v>
      </c>
      <c r="L27" s="16">
        <v>4.0</v>
      </c>
      <c r="M27" s="16" t="s">
        <v>172</v>
      </c>
      <c r="N27" s="16">
        <v>4.0</v>
      </c>
      <c r="O27" s="17">
        <f t="shared" si="1"/>
        <v>4</v>
      </c>
      <c r="P27" s="18" t="s">
        <v>228</v>
      </c>
      <c r="Q27" s="19" t="s">
        <v>229</v>
      </c>
    </row>
    <row r="28" ht="15.75" customHeight="1">
      <c r="A28" s="15" t="s">
        <v>41</v>
      </c>
      <c r="B28" s="8" t="s">
        <v>227</v>
      </c>
      <c r="C28" s="16">
        <v>4.0</v>
      </c>
      <c r="D28" s="16">
        <v>3.0</v>
      </c>
      <c r="E28" s="16" t="s">
        <v>172</v>
      </c>
      <c r="F28" s="16" t="s">
        <v>172</v>
      </c>
      <c r="G28" s="16">
        <v>2.0</v>
      </c>
      <c r="H28" s="16">
        <v>3.0</v>
      </c>
      <c r="I28" s="16">
        <v>3.0</v>
      </c>
      <c r="J28" s="16">
        <v>3.0</v>
      </c>
      <c r="K28" s="16">
        <v>3.0</v>
      </c>
      <c r="L28" s="16">
        <v>3.0</v>
      </c>
      <c r="M28" s="16" t="s">
        <v>172</v>
      </c>
      <c r="N28" s="16">
        <v>3.0</v>
      </c>
      <c r="O28" s="17">
        <f t="shared" si="1"/>
        <v>3</v>
      </c>
      <c r="P28" s="18" t="s">
        <v>230</v>
      </c>
      <c r="Q28" s="19" t="s">
        <v>231</v>
      </c>
    </row>
    <row r="29" ht="15.75" customHeight="1">
      <c r="A29" s="15" t="s">
        <v>45</v>
      </c>
      <c r="B29" s="8" t="s">
        <v>227</v>
      </c>
      <c r="C29" s="16">
        <v>4.0</v>
      </c>
      <c r="D29" s="16">
        <v>5.0</v>
      </c>
      <c r="E29" s="16" t="s">
        <v>172</v>
      </c>
      <c r="F29" s="16" t="s">
        <v>172</v>
      </c>
      <c r="G29" s="16">
        <v>2.0</v>
      </c>
      <c r="H29" s="16" t="s">
        <v>172</v>
      </c>
      <c r="I29" s="16" t="s">
        <v>172</v>
      </c>
      <c r="J29" s="16">
        <v>4.0</v>
      </c>
      <c r="K29" s="16">
        <v>4.0</v>
      </c>
      <c r="L29" s="16">
        <v>4.0</v>
      </c>
      <c r="M29" s="16" t="s">
        <v>172</v>
      </c>
      <c r="N29" s="16">
        <v>4.0</v>
      </c>
      <c r="O29" s="17">
        <f t="shared" si="1"/>
        <v>3.857142857</v>
      </c>
      <c r="P29" s="18" t="s">
        <v>232</v>
      </c>
      <c r="Q29" s="19" t="s">
        <v>233</v>
      </c>
    </row>
    <row r="30" ht="15.75" customHeight="1">
      <c r="A30" s="15" t="s">
        <v>49</v>
      </c>
      <c r="B30" s="8" t="s">
        <v>227</v>
      </c>
      <c r="C30" s="16">
        <v>4.0</v>
      </c>
      <c r="D30" s="16">
        <v>3.0</v>
      </c>
      <c r="E30" s="16">
        <v>2.0</v>
      </c>
      <c r="F30" s="16">
        <v>3.0</v>
      </c>
      <c r="G30" s="16">
        <v>2.0</v>
      </c>
      <c r="H30" s="16" t="s">
        <v>172</v>
      </c>
      <c r="I30" s="16">
        <v>3.0</v>
      </c>
      <c r="J30" s="16">
        <v>3.0</v>
      </c>
      <c r="K30" s="16">
        <v>3.0</v>
      </c>
      <c r="L30" s="16">
        <v>3.0</v>
      </c>
      <c r="M30" s="16" t="s">
        <v>172</v>
      </c>
      <c r="N30" s="16">
        <v>3.0</v>
      </c>
      <c r="O30" s="17">
        <f t="shared" si="1"/>
        <v>2.9</v>
      </c>
      <c r="P30" s="18" t="s">
        <v>234</v>
      </c>
      <c r="Q30" s="19" t="s">
        <v>191</v>
      </c>
    </row>
    <row r="31" ht="15.75" customHeight="1">
      <c r="A31" s="15" t="s">
        <v>53</v>
      </c>
      <c r="B31" s="8" t="s">
        <v>227</v>
      </c>
      <c r="C31" s="16">
        <v>4.0</v>
      </c>
      <c r="D31" s="16">
        <v>4.0</v>
      </c>
      <c r="E31" s="16">
        <v>4.0</v>
      </c>
      <c r="F31" s="16">
        <v>4.0</v>
      </c>
      <c r="G31" s="16">
        <v>2.0</v>
      </c>
      <c r="H31" s="16">
        <v>2.0</v>
      </c>
      <c r="I31" s="16" t="s">
        <v>172</v>
      </c>
      <c r="J31" s="16">
        <v>4.0</v>
      </c>
      <c r="K31" s="16">
        <v>4.0</v>
      </c>
      <c r="L31" s="16">
        <v>4.0</v>
      </c>
      <c r="M31" s="16" t="s">
        <v>172</v>
      </c>
      <c r="N31" s="16">
        <v>4.0</v>
      </c>
      <c r="O31" s="17">
        <f t="shared" si="1"/>
        <v>3.6</v>
      </c>
      <c r="P31" s="18" t="s">
        <v>235</v>
      </c>
      <c r="Q31" s="19" t="s">
        <v>236</v>
      </c>
    </row>
    <row r="32" ht="15.75" customHeight="1">
      <c r="A32" s="15" t="s">
        <v>34</v>
      </c>
      <c r="B32" s="8" t="s">
        <v>237</v>
      </c>
      <c r="C32" s="16">
        <v>4.0</v>
      </c>
      <c r="D32" s="16">
        <v>3.0</v>
      </c>
      <c r="E32" s="16">
        <v>3.0</v>
      </c>
      <c r="F32" s="16">
        <v>4.0</v>
      </c>
      <c r="G32" s="16">
        <v>4.0</v>
      </c>
      <c r="H32" s="16">
        <v>3.0</v>
      </c>
      <c r="I32" s="16" t="s">
        <v>172</v>
      </c>
      <c r="J32" s="16">
        <v>4.0</v>
      </c>
      <c r="K32" s="16">
        <v>3.0</v>
      </c>
      <c r="L32" s="16">
        <v>3.0</v>
      </c>
      <c r="M32" s="16" t="s">
        <v>172</v>
      </c>
      <c r="N32" s="16">
        <v>4.0</v>
      </c>
      <c r="O32" s="17">
        <f t="shared" si="1"/>
        <v>3.5</v>
      </c>
      <c r="P32" s="18" t="s">
        <v>238</v>
      </c>
      <c r="Q32" s="19" t="s">
        <v>239</v>
      </c>
    </row>
    <row r="33" ht="15.75" customHeight="1">
      <c r="A33" s="15" t="s">
        <v>41</v>
      </c>
      <c r="B33" s="8" t="s">
        <v>237</v>
      </c>
      <c r="C33" s="16">
        <v>3.0</v>
      </c>
      <c r="D33" s="16">
        <v>3.0</v>
      </c>
      <c r="E33" s="16" t="s">
        <v>172</v>
      </c>
      <c r="F33" s="16" t="s">
        <v>172</v>
      </c>
      <c r="G33" s="16">
        <v>3.0</v>
      </c>
      <c r="H33" s="16">
        <v>4.0</v>
      </c>
      <c r="I33" s="16">
        <v>4.0</v>
      </c>
      <c r="J33" s="16">
        <v>3.0</v>
      </c>
      <c r="K33" s="16">
        <v>3.0</v>
      </c>
      <c r="L33" s="16">
        <v>3.0</v>
      </c>
      <c r="M33" s="16" t="s">
        <v>172</v>
      </c>
      <c r="N33" s="16">
        <v>3.0</v>
      </c>
      <c r="O33" s="17">
        <f t="shared" si="1"/>
        <v>3.222222222</v>
      </c>
      <c r="P33" s="18" t="s">
        <v>240</v>
      </c>
      <c r="Q33" s="19" t="s">
        <v>241</v>
      </c>
    </row>
    <row r="34" ht="15.75" customHeight="1">
      <c r="A34" s="15" t="s">
        <v>45</v>
      </c>
      <c r="B34" s="8" t="s">
        <v>237</v>
      </c>
      <c r="C34" s="16">
        <v>4.0</v>
      </c>
      <c r="D34" s="16">
        <v>4.0</v>
      </c>
      <c r="E34" s="16" t="s">
        <v>172</v>
      </c>
      <c r="F34" s="16" t="s">
        <v>172</v>
      </c>
      <c r="G34" s="16">
        <v>4.0</v>
      </c>
      <c r="H34" s="16" t="s">
        <v>172</v>
      </c>
      <c r="I34" s="16" t="s">
        <v>172</v>
      </c>
      <c r="J34" s="16">
        <v>4.0</v>
      </c>
      <c r="K34" s="16">
        <v>3.0</v>
      </c>
      <c r="L34" s="16">
        <v>4.0</v>
      </c>
      <c r="M34" s="16" t="s">
        <v>172</v>
      </c>
      <c r="N34" s="16">
        <v>4.0</v>
      </c>
      <c r="O34" s="17">
        <f t="shared" si="1"/>
        <v>3.857142857</v>
      </c>
      <c r="P34" s="18" t="s">
        <v>242</v>
      </c>
      <c r="Q34" s="19" t="s">
        <v>243</v>
      </c>
    </row>
    <row r="35" ht="15.75" customHeight="1">
      <c r="A35" s="15" t="s">
        <v>49</v>
      </c>
      <c r="B35" s="8" t="s">
        <v>237</v>
      </c>
      <c r="C35" s="16">
        <v>3.0</v>
      </c>
      <c r="D35" s="16">
        <v>3.0</v>
      </c>
      <c r="E35" s="16">
        <v>3.0</v>
      </c>
      <c r="F35" s="16">
        <v>3.0</v>
      </c>
      <c r="G35" s="16">
        <v>4.0</v>
      </c>
      <c r="H35" s="16" t="s">
        <v>172</v>
      </c>
      <c r="I35" s="16">
        <v>3.0</v>
      </c>
      <c r="J35" s="16">
        <v>3.0</v>
      </c>
      <c r="K35" s="16">
        <v>3.0</v>
      </c>
      <c r="L35" s="16">
        <v>3.0</v>
      </c>
      <c r="M35" s="16" t="s">
        <v>172</v>
      </c>
      <c r="N35" s="16">
        <v>3.0</v>
      </c>
      <c r="O35" s="17">
        <f t="shared" si="1"/>
        <v>3.1</v>
      </c>
      <c r="P35" s="18" t="s">
        <v>244</v>
      </c>
      <c r="Q35" s="19" t="s">
        <v>245</v>
      </c>
    </row>
    <row r="36" ht="15.75" customHeight="1">
      <c r="A36" s="15" t="s">
        <v>53</v>
      </c>
      <c r="B36" s="8" t="s">
        <v>237</v>
      </c>
      <c r="C36" s="16">
        <v>4.0</v>
      </c>
      <c r="D36" s="16">
        <v>3.0</v>
      </c>
      <c r="E36" s="16">
        <v>4.0</v>
      </c>
      <c r="F36" s="16">
        <v>4.0</v>
      </c>
      <c r="G36" s="16">
        <v>4.0</v>
      </c>
      <c r="H36" s="16">
        <v>3.0</v>
      </c>
      <c r="I36" s="16" t="s">
        <v>172</v>
      </c>
      <c r="J36" s="16">
        <v>4.0</v>
      </c>
      <c r="K36" s="16">
        <v>3.0</v>
      </c>
      <c r="L36" s="16">
        <v>3.0</v>
      </c>
      <c r="M36" s="16" t="s">
        <v>172</v>
      </c>
      <c r="N36" s="16">
        <v>4.0</v>
      </c>
      <c r="O36" s="17">
        <f t="shared" si="1"/>
        <v>3.6</v>
      </c>
      <c r="P36" s="20" t="s">
        <v>246</v>
      </c>
      <c r="Q36" s="19" t="s">
        <v>247</v>
      </c>
    </row>
    <row r="37" ht="15.75" customHeight="1">
      <c r="A37" s="15" t="s">
        <v>34</v>
      </c>
      <c r="B37" s="8" t="s">
        <v>248</v>
      </c>
      <c r="C37" s="16">
        <v>5.0</v>
      </c>
      <c r="D37" s="16">
        <v>5.0</v>
      </c>
      <c r="E37" s="16">
        <v>5.0</v>
      </c>
      <c r="F37" s="16">
        <v>4.0</v>
      </c>
      <c r="G37" s="16">
        <v>5.0</v>
      </c>
      <c r="H37" s="16">
        <v>4.0</v>
      </c>
      <c r="I37" s="16" t="s">
        <v>172</v>
      </c>
      <c r="J37" s="16">
        <v>5.0</v>
      </c>
      <c r="K37" s="16">
        <v>4.0</v>
      </c>
      <c r="L37" s="16">
        <v>4.0</v>
      </c>
      <c r="M37" s="16" t="s">
        <v>172</v>
      </c>
      <c r="N37" s="16">
        <v>4.0</v>
      </c>
      <c r="O37" s="21">
        <f t="shared" si="1"/>
        <v>4.5</v>
      </c>
      <c r="P37" s="22" t="s">
        <v>249</v>
      </c>
      <c r="Q37" s="23" t="s">
        <v>250</v>
      </c>
    </row>
    <row r="38" ht="15.75" customHeight="1">
      <c r="A38" s="15" t="s">
        <v>41</v>
      </c>
      <c r="B38" s="8" t="s">
        <v>248</v>
      </c>
      <c r="C38" s="16">
        <v>5.0</v>
      </c>
      <c r="D38" s="16">
        <v>5.0</v>
      </c>
      <c r="E38" s="16" t="s">
        <v>172</v>
      </c>
      <c r="F38" s="16" t="s">
        <v>172</v>
      </c>
      <c r="G38" s="16">
        <v>4.0</v>
      </c>
      <c r="H38" s="16">
        <v>4.0</v>
      </c>
      <c r="I38" s="16">
        <v>3.0</v>
      </c>
      <c r="J38" s="16">
        <v>4.0</v>
      </c>
      <c r="K38" s="16">
        <v>4.0</v>
      </c>
      <c r="L38" s="16">
        <v>3.0</v>
      </c>
      <c r="M38" s="16" t="s">
        <v>172</v>
      </c>
      <c r="N38" s="16">
        <v>4.0</v>
      </c>
      <c r="O38" s="21">
        <f t="shared" si="1"/>
        <v>4</v>
      </c>
      <c r="P38" s="24" t="s">
        <v>251</v>
      </c>
      <c r="Q38" s="23" t="s">
        <v>252</v>
      </c>
    </row>
    <row r="39" ht="15.75" customHeight="1">
      <c r="A39" s="15" t="s">
        <v>45</v>
      </c>
      <c r="B39" s="8" t="s">
        <v>248</v>
      </c>
      <c r="C39" s="16">
        <v>5.0</v>
      </c>
      <c r="D39" s="16">
        <v>5.0</v>
      </c>
      <c r="E39" s="16" t="s">
        <v>172</v>
      </c>
      <c r="F39" s="16" t="s">
        <v>172</v>
      </c>
      <c r="G39" s="16">
        <v>4.0</v>
      </c>
      <c r="H39" s="16" t="s">
        <v>172</v>
      </c>
      <c r="I39" s="16" t="s">
        <v>172</v>
      </c>
      <c r="J39" s="16">
        <v>4.0</v>
      </c>
      <c r="K39" s="16">
        <v>5.0</v>
      </c>
      <c r="L39" s="16">
        <v>4.0</v>
      </c>
      <c r="M39" s="16" t="s">
        <v>172</v>
      </c>
      <c r="N39" s="16">
        <v>4.0</v>
      </c>
      <c r="O39" s="21">
        <f t="shared" si="1"/>
        <v>4.428571429</v>
      </c>
      <c r="P39" s="18" t="s">
        <v>253</v>
      </c>
      <c r="Q39" s="23" t="s">
        <v>254</v>
      </c>
    </row>
    <row r="40" ht="15.75" customHeight="1">
      <c r="A40" s="15" t="s">
        <v>49</v>
      </c>
      <c r="B40" s="8" t="s">
        <v>248</v>
      </c>
      <c r="C40" s="16">
        <v>4.0</v>
      </c>
      <c r="D40" s="16">
        <v>4.0</v>
      </c>
      <c r="E40" s="16">
        <v>5.0</v>
      </c>
      <c r="F40" s="16">
        <v>4.0</v>
      </c>
      <c r="G40" s="16">
        <v>5.0</v>
      </c>
      <c r="H40" s="16" t="s">
        <v>172</v>
      </c>
      <c r="I40" s="16">
        <v>4.0</v>
      </c>
      <c r="J40" s="16">
        <v>4.0</v>
      </c>
      <c r="K40" s="16">
        <v>3.0</v>
      </c>
      <c r="L40" s="16">
        <v>4.0</v>
      </c>
      <c r="M40" s="16" t="s">
        <v>172</v>
      </c>
      <c r="N40" s="16">
        <v>4.0</v>
      </c>
      <c r="O40" s="21">
        <f t="shared" si="1"/>
        <v>4.1</v>
      </c>
      <c r="P40" s="18" t="s">
        <v>255</v>
      </c>
      <c r="Q40" s="23" t="s">
        <v>256</v>
      </c>
    </row>
    <row r="41" ht="15.75" customHeight="1">
      <c r="A41" s="15" t="s">
        <v>53</v>
      </c>
      <c r="B41" s="8" t="s">
        <v>248</v>
      </c>
      <c r="C41" s="16">
        <v>5.0</v>
      </c>
      <c r="D41" s="16">
        <v>4.0</v>
      </c>
      <c r="E41" s="16">
        <v>4.0</v>
      </c>
      <c r="F41" s="16">
        <v>4.0</v>
      </c>
      <c r="G41" s="16">
        <v>4.0</v>
      </c>
      <c r="H41" s="16">
        <v>3.0</v>
      </c>
      <c r="I41" s="16" t="s">
        <v>172</v>
      </c>
      <c r="J41" s="16">
        <v>4.0</v>
      </c>
      <c r="K41" s="16">
        <v>4.0</v>
      </c>
      <c r="L41" s="16">
        <v>4.0</v>
      </c>
      <c r="M41" s="16" t="s">
        <v>172</v>
      </c>
      <c r="N41" s="16">
        <v>4.0</v>
      </c>
      <c r="O41" s="21">
        <f t="shared" si="1"/>
        <v>4</v>
      </c>
      <c r="P41" s="18" t="s">
        <v>257</v>
      </c>
      <c r="Q41" s="23" t="s">
        <v>258</v>
      </c>
    </row>
    <row r="42" ht="15.75" customHeight="1">
      <c r="A42" s="15" t="s">
        <v>34</v>
      </c>
      <c r="B42" s="8" t="s">
        <v>259</v>
      </c>
      <c r="C42" s="16">
        <v>4.0</v>
      </c>
      <c r="D42" s="16">
        <v>3.0</v>
      </c>
      <c r="E42" s="16">
        <v>3.0</v>
      </c>
      <c r="F42" s="16">
        <v>4.0</v>
      </c>
      <c r="G42" s="16">
        <v>3.0</v>
      </c>
      <c r="H42" s="16">
        <v>3.0</v>
      </c>
      <c r="I42" s="16" t="s">
        <v>172</v>
      </c>
      <c r="J42" s="16">
        <v>3.0</v>
      </c>
      <c r="K42" s="16">
        <v>3.0</v>
      </c>
      <c r="L42" s="16">
        <v>4.0</v>
      </c>
      <c r="M42" s="16" t="s">
        <v>172</v>
      </c>
      <c r="N42" s="16">
        <v>3.0</v>
      </c>
      <c r="O42" s="17">
        <f t="shared" si="1"/>
        <v>3.3</v>
      </c>
      <c r="P42" s="24" t="s">
        <v>260</v>
      </c>
      <c r="Q42" s="19" t="s">
        <v>261</v>
      </c>
    </row>
    <row r="43" ht="15.75" customHeight="1">
      <c r="A43" s="15" t="s">
        <v>41</v>
      </c>
      <c r="B43" s="8" t="s">
        <v>259</v>
      </c>
      <c r="C43" s="16">
        <v>4.0</v>
      </c>
      <c r="D43" s="16">
        <v>4.0</v>
      </c>
      <c r="E43" s="16" t="s">
        <v>172</v>
      </c>
      <c r="F43" s="16" t="s">
        <v>172</v>
      </c>
      <c r="G43" s="16">
        <v>3.0</v>
      </c>
      <c r="H43" s="16">
        <v>3.0</v>
      </c>
      <c r="I43" s="16">
        <v>3.0</v>
      </c>
      <c r="J43" s="16">
        <v>3.0</v>
      </c>
      <c r="K43" s="16">
        <v>4.0</v>
      </c>
      <c r="L43" s="16">
        <v>4.0</v>
      </c>
      <c r="M43" s="16" t="s">
        <v>172</v>
      </c>
      <c r="N43" s="16">
        <v>3.0</v>
      </c>
      <c r="O43" s="17">
        <f t="shared" si="1"/>
        <v>3.444444444</v>
      </c>
      <c r="P43" s="18" t="s">
        <v>217</v>
      </c>
      <c r="Q43" s="19" t="s">
        <v>262</v>
      </c>
    </row>
    <row r="44" ht="15.75" customHeight="1">
      <c r="A44" s="15" t="s">
        <v>45</v>
      </c>
      <c r="B44" s="8" t="s">
        <v>259</v>
      </c>
      <c r="C44" s="16">
        <v>4.0</v>
      </c>
      <c r="D44" s="16">
        <v>4.0</v>
      </c>
      <c r="E44" s="16">
        <v>4.0</v>
      </c>
      <c r="F44" s="16">
        <v>4.0</v>
      </c>
      <c r="G44" s="16">
        <v>3.0</v>
      </c>
      <c r="H44" s="16">
        <v>3.0</v>
      </c>
      <c r="I44" s="16" t="s">
        <v>172</v>
      </c>
      <c r="J44" s="16">
        <v>4.0</v>
      </c>
      <c r="K44" s="16">
        <v>4.0</v>
      </c>
      <c r="L44" s="16">
        <v>4.0</v>
      </c>
      <c r="M44" s="16" t="s">
        <v>172</v>
      </c>
      <c r="N44" s="16">
        <v>4.0</v>
      </c>
      <c r="O44" s="17">
        <f t="shared" si="1"/>
        <v>3.8</v>
      </c>
      <c r="P44" s="18" t="s">
        <v>263</v>
      </c>
      <c r="Q44" s="19" t="s">
        <v>264</v>
      </c>
    </row>
    <row r="45" ht="15.75" customHeight="1">
      <c r="A45" s="15" t="s">
        <v>49</v>
      </c>
      <c r="B45" s="8" t="s">
        <v>259</v>
      </c>
      <c r="C45" s="16">
        <v>4.0</v>
      </c>
      <c r="D45" s="16">
        <v>4.0</v>
      </c>
      <c r="E45" s="16">
        <v>3.0</v>
      </c>
      <c r="F45" s="16">
        <v>4.0</v>
      </c>
      <c r="G45" s="16">
        <v>4.0</v>
      </c>
      <c r="H45" s="16">
        <v>3.0</v>
      </c>
      <c r="I45" s="16">
        <v>3.0</v>
      </c>
      <c r="J45" s="16">
        <v>3.0</v>
      </c>
      <c r="K45" s="16">
        <v>3.0</v>
      </c>
      <c r="L45" s="16">
        <v>4.0</v>
      </c>
      <c r="M45" s="16" t="s">
        <v>172</v>
      </c>
      <c r="N45" s="16">
        <v>3.0</v>
      </c>
      <c r="O45" s="17">
        <f t="shared" si="1"/>
        <v>3.454545455</v>
      </c>
      <c r="P45" s="18" t="s">
        <v>265</v>
      </c>
      <c r="Q45" s="19" t="s">
        <v>266</v>
      </c>
    </row>
    <row r="46" ht="15.75" customHeight="1">
      <c r="A46" s="15" t="s">
        <v>53</v>
      </c>
      <c r="B46" s="8" t="s">
        <v>259</v>
      </c>
      <c r="C46" s="16">
        <v>4.0</v>
      </c>
      <c r="D46" s="16">
        <v>4.0</v>
      </c>
      <c r="E46" s="16">
        <v>3.0</v>
      </c>
      <c r="F46" s="16">
        <v>4.0</v>
      </c>
      <c r="G46" s="16">
        <v>4.0</v>
      </c>
      <c r="H46" s="16">
        <v>3.0</v>
      </c>
      <c r="I46" s="16" t="s">
        <v>172</v>
      </c>
      <c r="J46" s="16">
        <v>4.0</v>
      </c>
      <c r="K46" s="16">
        <v>4.0</v>
      </c>
      <c r="L46" s="16">
        <v>3.0</v>
      </c>
      <c r="M46" s="16" t="s">
        <v>172</v>
      </c>
      <c r="N46" s="16">
        <v>4.0</v>
      </c>
      <c r="O46" s="17">
        <f t="shared" si="1"/>
        <v>3.7</v>
      </c>
      <c r="P46" s="18" t="s">
        <v>267</v>
      </c>
      <c r="Q46" s="19" t="s">
        <v>268</v>
      </c>
    </row>
    <row r="47" ht="15.75" customHeight="1">
      <c r="A47" s="25"/>
      <c r="B47" s="25"/>
      <c r="C47" s="26"/>
      <c r="D47" s="26"/>
      <c r="E47" s="26"/>
      <c r="F47" s="26"/>
      <c r="G47" s="26"/>
      <c r="H47" s="26"/>
      <c r="I47" s="26"/>
      <c r="J47" s="26"/>
      <c r="K47" s="26"/>
      <c r="L47" s="26"/>
      <c r="M47" s="26"/>
      <c r="N47" s="26"/>
      <c r="O47" s="17" t="str">
        <f t="shared" si="1"/>
        <v/>
      </c>
      <c r="P47" s="18"/>
      <c r="Q47" s="27"/>
    </row>
    <row r="48" ht="15.75" customHeight="1">
      <c r="A48" s="25"/>
      <c r="B48" s="25"/>
      <c r="C48" s="26"/>
      <c r="D48" s="26"/>
      <c r="E48" s="26"/>
      <c r="F48" s="26"/>
      <c r="G48" s="26"/>
      <c r="H48" s="26"/>
      <c r="I48" s="26"/>
      <c r="J48" s="26"/>
      <c r="K48" s="26"/>
      <c r="L48" s="26"/>
      <c r="M48" s="26"/>
      <c r="N48" s="26"/>
      <c r="O48" s="17" t="str">
        <f t="shared" si="1"/>
        <v/>
      </c>
      <c r="P48" s="28"/>
      <c r="Q48" s="27"/>
    </row>
    <row r="49" ht="15.75" customHeight="1">
      <c r="A49" s="25"/>
      <c r="B49" s="25"/>
      <c r="C49" s="26"/>
      <c r="D49" s="26"/>
      <c r="E49" s="26"/>
      <c r="F49" s="26"/>
      <c r="G49" s="26"/>
      <c r="H49" s="26"/>
      <c r="I49" s="26"/>
      <c r="J49" s="26"/>
      <c r="K49" s="26"/>
      <c r="L49" s="26"/>
      <c r="M49" s="26"/>
      <c r="N49" s="26"/>
      <c r="O49" s="17" t="str">
        <f t="shared" si="1"/>
        <v/>
      </c>
      <c r="P49" s="28"/>
      <c r="Q49" s="27"/>
    </row>
    <row r="50" ht="15.75" customHeight="1">
      <c r="A50" s="25"/>
      <c r="B50" s="25"/>
      <c r="C50" s="26"/>
      <c r="D50" s="26"/>
      <c r="E50" s="26"/>
      <c r="F50" s="26"/>
      <c r="G50" s="26"/>
      <c r="H50" s="26"/>
      <c r="I50" s="26"/>
      <c r="J50" s="26"/>
      <c r="K50" s="26"/>
      <c r="L50" s="26"/>
      <c r="M50" s="26"/>
      <c r="N50" s="26"/>
      <c r="O50" s="17" t="str">
        <f t="shared" si="1"/>
        <v/>
      </c>
      <c r="P50" s="28"/>
      <c r="Q50" s="27"/>
    </row>
    <row r="51" ht="15.75" customHeight="1">
      <c r="A51" s="25"/>
      <c r="B51" s="25"/>
      <c r="C51" s="26"/>
      <c r="D51" s="26"/>
      <c r="E51" s="26"/>
      <c r="F51" s="26"/>
      <c r="G51" s="26"/>
      <c r="H51" s="26"/>
      <c r="I51" s="26"/>
      <c r="J51" s="26"/>
      <c r="K51" s="26"/>
      <c r="L51" s="26"/>
      <c r="M51" s="26"/>
      <c r="N51" s="26"/>
      <c r="O51" s="17" t="str">
        <f t="shared" si="1"/>
        <v/>
      </c>
      <c r="P51" s="28"/>
      <c r="Q51" s="27"/>
    </row>
    <row r="52" ht="15.75" customHeight="1">
      <c r="A52" s="25"/>
      <c r="B52" s="25"/>
      <c r="C52" s="26"/>
      <c r="D52" s="26"/>
      <c r="E52" s="26"/>
      <c r="F52" s="26"/>
      <c r="G52" s="26"/>
      <c r="H52" s="26"/>
      <c r="I52" s="26"/>
      <c r="J52" s="26"/>
      <c r="K52" s="26"/>
      <c r="L52" s="26"/>
      <c r="M52" s="26"/>
      <c r="N52" s="26"/>
      <c r="O52" s="17" t="str">
        <f t="shared" si="1"/>
        <v/>
      </c>
      <c r="P52" s="28"/>
      <c r="Q52" s="27"/>
    </row>
    <row r="53" ht="15.75" customHeight="1">
      <c r="A53" s="25"/>
      <c r="B53" s="25"/>
      <c r="C53" s="26"/>
      <c r="D53" s="26"/>
      <c r="E53" s="26"/>
      <c r="F53" s="26"/>
      <c r="G53" s="26"/>
      <c r="H53" s="26"/>
      <c r="I53" s="26"/>
      <c r="J53" s="26"/>
      <c r="K53" s="26"/>
      <c r="L53" s="26"/>
      <c r="M53" s="26"/>
      <c r="N53" s="26"/>
      <c r="O53" s="17" t="str">
        <f t="shared" si="1"/>
        <v/>
      </c>
      <c r="P53" s="28"/>
      <c r="Q53" s="27"/>
    </row>
    <row r="54" ht="15.75" customHeight="1">
      <c r="A54" s="25"/>
      <c r="B54" s="25"/>
      <c r="C54" s="26"/>
      <c r="D54" s="26"/>
      <c r="E54" s="26"/>
      <c r="F54" s="26"/>
      <c r="G54" s="26"/>
      <c r="H54" s="26"/>
      <c r="I54" s="26"/>
      <c r="J54" s="26"/>
      <c r="K54" s="26"/>
      <c r="L54" s="26"/>
      <c r="M54" s="26"/>
      <c r="N54" s="26"/>
      <c r="O54" s="17" t="str">
        <f t="shared" si="1"/>
        <v/>
      </c>
      <c r="P54" s="28"/>
      <c r="Q54" s="27"/>
    </row>
    <row r="55" ht="15.75" customHeight="1">
      <c r="A55" s="25"/>
      <c r="B55" s="25"/>
      <c r="C55" s="26"/>
      <c r="D55" s="26"/>
      <c r="E55" s="26"/>
      <c r="F55" s="26"/>
      <c r="G55" s="26"/>
      <c r="H55" s="26"/>
      <c r="I55" s="26"/>
      <c r="J55" s="26"/>
      <c r="K55" s="26"/>
      <c r="L55" s="26"/>
      <c r="M55" s="26"/>
      <c r="N55" s="26"/>
      <c r="O55" s="17" t="str">
        <f t="shared" si="1"/>
        <v/>
      </c>
      <c r="P55" s="28"/>
      <c r="Q55" s="27"/>
    </row>
    <row r="56" ht="15.75" customHeight="1">
      <c r="A56" s="25"/>
      <c r="B56" s="25"/>
      <c r="C56" s="26"/>
      <c r="D56" s="26"/>
      <c r="E56" s="26"/>
      <c r="F56" s="26"/>
      <c r="G56" s="26"/>
      <c r="H56" s="26"/>
      <c r="I56" s="26"/>
      <c r="J56" s="26"/>
      <c r="K56" s="26"/>
      <c r="L56" s="26"/>
      <c r="M56" s="26"/>
      <c r="N56" s="26"/>
      <c r="O56" s="17" t="str">
        <f t="shared" si="1"/>
        <v/>
      </c>
      <c r="P56" s="28"/>
      <c r="Q56" s="27"/>
    </row>
    <row r="57" ht="15.75" customHeight="1">
      <c r="A57" s="25"/>
      <c r="B57" s="25"/>
      <c r="C57" s="26"/>
      <c r="D57" s="26"/>
      <c r="E57" s="26"/>
      <c r="F57" s="26"/>
      <c r="G57" s="26"/>
      <c r="H57" s="26"/>
      <c r="I57" s="26"/>
      <c r="J57" s="26"/>
      <c r="K57" s="26"/>
      <c r="L57" s="26"/>
      <c r="M57" s="26"/>
      <c r="N57" s="26"/>
      <c r="O57" s="17" t="str">
        <f t="shared" si="1"/>
        <v/>
      </c>
      <c r="P57" s="28"/>
      <c r="Q57" s="27"/>
    </row>
    <row r="58" ht="15.75" customHeight="1">
      <c r="A58" s="25"/>
      <c r="B58" s="25"/>
      <c r="C58" s="26"/>
      <c r="D58" s="26"/>
      <c r="E58" s="26"/>
      <c r="F58" s="26"/>
      <c r="G58" s="26"/>
      <c r="H58" s="26"/>
      <c r="I58" s="26"/>
      <c r="J58" s="26"/>
      <c r="K58" s="26"/>
      <c r="L58" s="26"/>
      <c r="M58" s="26"/>
      <c r="N58" s="26"/>
      <c r="O58" s="17" t="str">
        <f t="shared" si="1"/>
        <v/>
      </c>
      <c r="P58" s="28"/>
      <c r="Q58" s="27"/>
    </row>
    <row r="59" ht="15.75" customHeight="1">
      <c r="A59" s="25"/>
      <c r="B59" s="25"/>
      <c r="C59" s="26"/>
      <c r="D59" s="26"/>
      <c r="E59" s="26"/>
      <c r="F59" s="26"/>
      <c r="G59" s="26"/>
      <c r="H59" s="26"/>
      <c r="I59" s="26"/>
      <c r="J59" s="26"/>
      <c r="K59" s="26"/>
      <c r="L59" s="26"/>
      <c r="M59" s="26"/>
      <c r="N59" s="26"/>
      <c r="O59" s="17" t="str">
        <f t="shared" si="1"/>
        <v/>
      </c>
      <c r="P59" s="28"/>
      <c r="Q59" s="27"/>
    </row>
    <row r="60" ht="15.75" customHeight="1">
      <c r="A60" s="25"/>
      <c r="B60" s="25"/>
      <c r="C60" s="26"/>
      <c r="D60" s="26"/>
      <c r="E60" s="26"/>
      <c r="F60" s="26"/>
      <c r="G60" s="26"/>
      <c r="H60" s="26"/>
      <c r="I60" s="26"/>
      <c r="J60" s="26"/>
      <c r="K60" s="26"/>
      <c r="L60" s="26"/>
      <c r="M60" s="26"/>
      <c r="N60" s="26"/>
      <c r="O60" s="17" t="str">
        <f t="shared" si="1"/>
        <v/>
      </c>
      <c r="P60" s="28"/>
      <c r="Q60" s="27"/>
    </row>
    <row r="61" ht="15.75" customHeight="1">
      <c r="A61" s="25"/>
      <c r="B61" s="25"/>
      <c r="C61" s="26"/>
      <c r="D61" s="26"/>
      <c r="E61" s="26"/>
      <c r="F61" s="26"/>
      <c r="G61" s="26"/>
      <c r="H61" s="26"/>
      <c r="I61" s="26"/>
      <c r="J61" s="26"/>
      <c r="K61" s="26"/>
      <c r="L61" s="26"/>
      <c r="M61" s="26"/>
      <c r="N61" s="26"/>
      <c r="O61" s="17" t="str">
        <f t="shared" si="1"/>
        <v/>
      </c>
      <c r="P61" s="28"/>
      <c r="Q61" s="27"/>
    </row>
    <row r="62" ht="15.75" customHeight="1">
      <c r="A62" s="25"/>
      <c r="B62" s="25"/>
      <c r="C62" s="26"/>
      <c r="D62" s="26"/>
      <c r="E62" s="26"/>
      <c r="F62" s="26"/>
      <c r="G62" s="26"/>
      <c r="H62" s="26"/>
      <c r="I62" s="26"/>
      <c r="J62" s="26"/>
      <c r="K62" s="26"/>
      <c r="L62" s="26"/>
      <c r="M62" s="26"/>
      <c r="N62" s="26"/>
      <c r="O62" s="17" t="str">
        <f t="shared" si="1"/>
        <v/>
      </c>
      <c r="P62" s="28"/>
      <c r="Q62" s="27"/>
    </row>
    <row r="63" ht="15.75" customHeight="1">
      <c r="A63" s="25"/>
      <c r="B63" s="25"/>
      <c r="C63" s="26"/>
      <c r="D63" s="26"/>
      <c r="E63" s="26"/>
      <c r="F63" s="26"/>
      <c r="G63" s="26"/>
      <c r="H63" s="26"/>
      <c r="I63" s="26"/>
      <c r="J63" s="26"/>
      <c r="K63" s="26"/>
      <c r="L63" s="26"/>
      <c r="M63" s="26"/>
      <c r="N63" s="26"/>
      <c r="O63" s="17" t="str">
        <f t="shared" si="1"/>
        <v/>
      </c>
      <c r="P63" s="28"/>
      <c r="Q63" s="27"/>
    </row>
    <row r="64" ht="15.75" customHeight="1">
      <c r="A64" s="25"/>
      <c r="B64" s="25"/>
      <c r="C64" s="26"/>
      <c r="D64" s="26"/>
      <c r="E64" s="26"/>
      <c r="F64" s="26"/>
      <c r="G64" s="26"/>
      <c r="H64" s="26"/>
      <c r="I64" s="26"/>
      <c r="J64" s="26"/>
      <c r="K64" s="26"/>
      <c r="L64" s="26"/>
      <c r="M64" s="26"/>
      <c r="N64" s="26"/>
      <c r="O64" s="17" t="str">
        <f t="shared" si="1"/>
        <v/>
      </c>
      <c r="P64" s="28"/>
      <c r="Q64" s="27"/>
    </row>
    <row r="65" ht="15.75" customHeight="1">
      <c r="A65" s="25"/>
      <c r="B65" s="25"/>
      <c r="C65" s="26"/>
      <c r="D65" s="26"/>
      <c r="E65" s="26"/>
      <c r="F65" s="26"/>
      <c r="G65" s="26"/>
      <c r="H65" s="26"/>
      <c r="I65" s="26"/>
      <c r="J65" s="26"/>
      <c r="K65" s="26"/>
      <c r="L65" s="26"/>
      <c r="M65" s="26"/>
      <c r="N65" s="26"/>
      <c r="O65" s="17" t="str">
        <f t="shared" si="1"/>
        <v/>
      </c>
      <c r="P65" s="28"/>
      <c r="Q65" s="27"/>
    </row>
    <row r="66" ht="15.75" customHeight="1">
      <c r="A66" s="25"/>
      <c r="B66" s="25"/>
      <c r="C66" s="26"/>
      <c r="D66" s="26"/>
      <c r="E66" s="26"/>
      <c r="F66" s="26"/>
      <c r="G66" s="26"/>
      <c r="H66" s="26"/>
      <c r="I66" s="26"/>
      <c r="J66" s="26"/>
      <c r="K66" s="26"/>
      <c r="L66" s="26"/>
      <c r="M66" s="26"/>
      <c r="N66" s="26"/>
      <c r="O66" s="17" t="str">
        <f t="shared" si="1"/>
        <v/>
      </c>
      <c r="P66" s="28"/>
      <c r="Q66" s="27"/>
    </row>
    <row r="67" ht="15.75" customHeight="1">
      <c r="A67" s="25"/>
      <c r="B67" s="25"/>
      <c r="C67" s="26"/>
      <c r="D67" s="26"/>
      <c r="E67" s="26"/>
      <c r="F67" s="26"/>
      <c r="G67" s="26"/>
      <c r="H67" s="26"/>
      <c r="I67" s="26"/>
      <c r="J67" s="26"/>
      <c r="K67" s="26"/>
      <c r="L67" s="26"/>
      <c r="M67" s="26"/>
      <c r="N67" s="26"/>
      <c r="O67" s="17" t="str">
        <f t="shared" si="1"/>
        <v/>
      </c>
      <c r="P67" s="28"/>
      <c r="Q67" s="27"/>
    </row>
    <row r="68" ht="15.75" customHeight="1">
      <c r="A68" s="25"/>
      <c r="B68" s="25"/>
      <c r="C68" s="26"/>
      <c r="D68" s="26"/>
      <c r="E68" s="26"/>
      <c r="F68" s="26"/>
      <c r="G68" s="26"/>
      <c r="H68" s="26"/>
      <c r="I68" s="26"/>
      <c r="J68" s="26"/>
      <c r="K68" s="26"/>
      <c r="L68" s="26"/>
      <c r="M68" s="26"/>
      <c r="N68" s="26"/>
      <c r="O68" s="17" t="str">
        <f t="shared" si="1"/>
        <v/>
      </c>
      <c r="P68" s="28"/>
      <c r="Q68" s="27"/>
    </row>
    <row r="69" ht="15.75" customHeight="1">
      <c r="A69" s="25"/>
      <c r="B69" s="25"/>
      <c r="C69" s="26"/>
      <c r="D69" s="26"/>
      <c r="E69" s="26"/>
      <c r="F69" s="26"/>
      <c r="G69" s="26"/>
      <c r="H69" s="26"/>
      <c r="I69" s="26"/>
      <c r="J69" s="26"/>
      <c r="K69" s="26"/>
      <c r="L69" s="26"/>
      <c r="M69" s="26"/>
      <c r="N69" s="26"/>
      <c r="O69" s="17" t="str">
        <f t="shared" si="1"/>
        <v/>
      </c>
      <c r="P69" s="28"/>
      <c r="Q69" s="27"/>
    </row>
    <row r="70" ht="15.75" customHeight="1">
      <c r="A70" s="25"/>
      <c r="B70" s="25"/>
      <c r="C70" s="26"/>
      <c r="D70" s="26"/>
      <c r="E70" s="26"/>
      <c r="F70" s="26"/>
      <c r="G70" s="26"/>
      <c r="H70" s="26"/>
      <c r="I70" s="26"/>
      <c r="J70" s="26"/>
      <c r="K70" s="26"/>
      <c r="L70" s="26"/>
      <c r="M70" s="26"/>
      <c r="N70" s="26"/>
      <c r="O70" s="17" t="str">
        <f t="shared" si="1"/>
        <v/>
      </c>
      <c r="P70" s="28"/>
      <c r="Q70" s="27"/>
    </row>
    <row r="71" ht="15.75" customHeight="1">
      <c r="A71" s="25"/>
      <c r="B71" s="25"/>
      <c r="C71" s="26"/>
      <c r="D71" s="26"/>
      <c r="E71" s="26"/>
      <c r="F71" s="26"/>
      <c r="G71" s="26"/>
      <c r="H71" s="26"/>
      <c r="I71" s="26"/>
      <c r="J71" s="26"/>
      <c r="K71" s="26"/>
      <c r="L71" s="26"/>
      <c r="M71" s="26"/>
      <c r="N71" s="26"/>
      <c r="O71" s="17" t="str">
        <f t="shared" si="1"/>
        <v/>
      </c>
      <c r="P71" s="28"/>
      <c r="Q71" s="27"/>
    </row>
    <row r="72" ht="15.75" customHeight="1">
      <c r="A72" s="25"/>
      <c r="B72" s="25"/>
      <c r="C72" s="26"/>
      <c r="D72" s="26"/>
      <c r="E72" s="26"/>
      <c r="F72" s="26"/>
      <c r="G72" s="26"/>
      <c r="H72" s="26"/>
      <c r="I72" s="26"/>
      <c r="J72" s="26"/>
      <c r="K72" s="26"/>
      <c r="L72" s="26"/>
      <c r="M72" s="26"/>
      <c r="N72" s="26"/>
      <c r="O72" s="17" t="str">
        <f t="shared" si="1"/>
        <v/>
      </c>
      <c r="P72" s="28"/>
      <c r="Q72" s="27"/>
    </row>
    <row r="73" ht="15.75" customHeight="1">
      <c r="A73" s="25"/>
      <c r="B73" s="25"/>
      <c r="C73" s="26"/>
      <c r="D73" s="26"/>
      <c r="E73" s="26"/>
      <c r="F73" s="26"/>
      <c r="G73" s="26"/>
      <c r="H73" s="26"/>
      <c r="I73" s="26"/>
      <c r="J73" s="26"/>
      <c r="K73" s="26"/>
      <c r="L73" s="26"/>
      <c r="M73" s="26"/>
      <c r="N73" s="26"/>
      <c r="O73" s="17" t="str">
        <f t="shared" si="1"/>
        <v/>
      </c>
      <c r="P73" s="28"/>
      <c r="Q73" s="27"/>
    </row>
    <row r="74" ht="15.75" customHeight="1">
      <c r="A74" s="25"/>
      <c r="B74" s="25"/>
      <c r="C74" s="26"/>
      <c r="D74" s="26"/>
      <c r="E74" s="26"/>
      <c r="F74" s="26"/>
      <c r="G74" s="26"/>
      <c r="H74" s="26"/>
      <c r="I74" s="26"/>
      <c r="J74" s="26"/>
      <c r="K74" s="26"/>
      <c r="L74" s="26"/>
      <c r="M74" s="26"/>
      <c r="N74" s="26"/>
      <c r="O74" s="17" t="str">
        <f t="shared" si="1"/>
        <v/>
      </c>
      <c r="P74" s="28"/>
      <c r="Q74" s="27"/>
    </row>
    <row r="75" ht="15.75" customHeight="1">
      <c r="A75" s="25"/>
      <c r="B75" s="25"/>
      <c r="C75" s="26"/>
      <c r="D75" s="26"/>
      <c r="E75" s="26"/>
      <c r="F75" s="26"/>
      <c r="G75" s="26"/>
      <c r="H75" s="26"/>
      <c r="I75" s="26"/>
      <c r="J75" s="26"/>
      <c r="K75" s="26"/>
      <c r="L75" s="26"/>
      <c r="M75" s="26"/>
      <c r="N75" s="26"/>
      <c r="O75" s="17" t="str">
        <f t="shared" si="1"/>
        <v/>
      </c>
      <c r="P75" s="28"/>
      <c r="Q75" s="27"/>
    </row>
    <row r="76" ht="15.75" customHeight="1">
      <c r="A76" s="25"/>
      <c r="B76" s="25"/>
      <c r="C76" s="26"/>
      <c r="D76" s="26"/>
      <c r="E76" s="26"/>
      <c r="F76" s="26"/>
      <c r="G76" s="26"/>
      <c r="H76" s="26"/>
      <c r="I76" s="26"/>
      <c r="J76" s="26"/>
      <c r="K76" s="26"/>
      <c r="L76" s="26"/>
      <c r="M76" s="26"/>
      <c r="N76" s="26"/>
      <c r="O76" s="17" t="str">
        <f t="shared" si="1"/>
        <v/>
      </c>
      <c r="P76" s="28"/>
      <c r="Q76" s="27"/>
    </row>
    <row r="77" ht="15.75" customHeight="1">
      <c r="A77" s="25"/>
      <c r="B77" s="25"/>
      <c r="C77" s="26"/>
      <c r="D77" s="26"/>
      <c r="E77" s="26"/>
      <c r="F77" s="26"/>
      <c r="G77" s="26"/>
      <c r="H77" s="26"/>
      <c r="I77" s="26"/>
      <c r="J77" s="26"/>
      <c r="K77" s="26"/>
      <c r="L77" s="26"/>
      <c r="M77" s="26"/>
      <c r="N77" s="26"/>
      <c r="O77" s="17" t="str">
        <f t="shared" si="1"/>
        <v/>
      </c>
      <c r="P77" s="28"/>
      <c r="Q77" s="27"/>
    </row>
    <row r="78" ht="15.75" customHeight="1">
      <c r="A78" s="25"/>
      <c r="B78" s="25"/>
      <c r="C78" s="26"/>
      <c r="D78" s="26"/>
      <c r="E78" s="26"/>
      <c r="F78" s="26"/>
      <c r="G78" s="26"/>
      <c r="H78" s="26"/>
      <c r="I78" s="26"/>
      <c r="J78" s="26"/>
      <c r="K78" s="26"/>
      <c r="L78" s="26"/>
      <c r="M78" s="26"/>
      <c r="N78" s="26"/>
      <c r="O78" s="17" t="str">
        <f t="shared" si="1"/>
        <v/>
      </c>
      <c r="P78" s="28"/>
      <c r="Q78" s="27"/>
    </row>
    <row r="79" ht="15.75" customHeight="1">
      <c r="A79" s="25"/>
      <c r="B79" s="25"/>
      <c r="C79" s="26"/>
      <c r="D79" s="26"/>
      <c r="E79" s="26"/>
      <c r="F79" s="26"/>
      <c r="G79" s="26"/>
      <c r="H79" s="26"/>
      <c r="I79" s="26"/>
      <c r="J79" s="26"/>
      <c r="K79" s="26"/>
      <c r="L79" s="26"/>
      <c r="M79" s="26"/>
      <c r="N79" s="26"/>
      <c r="O79" s="17" t="str">
        <f t="shared" si="1"/>
        <v/>
      </c>
      <c r="P79" s="28"/>
      <c r="Q79" s="27"/>
    </row>
    <row r="80" ht="15.75" customHeight="1">
      <c r="A80" s="25"/>
      <c r="B80" s="25"/>
      <c r="C80" s="26"/>
      <c r="D80" s="26"/>
      <c r="E80" s="26"/>
      <c r="F80" s="26"/>
      <c r="G80" s="26"/>
      <c r="H80" s="26"/>
      <c r="I80" s="26"/>
      <c r="J80" s="26"/>
      <c r="K80" s="26"/>
      <c r="L80" s="26"/>
      <c r="M80" s="26"/>
      <c r="N80" s="26"/>
      <c r="O80" s="17" t="str">
        <f t="shared" si="1"/>
        <v/>
      </c>
      <c r="P80" s="28"/>
      <c r="Q80" s="27"/>
    </row>
    <row r="81" ht="15.75" customHeight="1">
      <c r="A81" s="25"/>
      <c r="B81" s="25"/>
      <c r="C81" s="26"/>
      <c r="D81" s="26"/>
      <c r="E81" s="26"/>
      <c r="F81" s="26"/>
      <c r="G81" s="26"/>
      <c r="H81" s="26"/>
      <c r="I81" s="26"/>
      <c r="J81" s="26"/>
      <c r="K81" s="26"/>
      <c r="L81" s="26"/>
      <c r="M81" s="26"/>
      <c r="N81" s="26"/>
      <c r="O81" s="17" t="str">
        <f t="shared" si="1"/>
        <v/>
      </c>
      <c r="P81" s="28"/>
      <c r="Q81" s="27"/>
    </row>
    <row r="82" ht="15.75" customHeight="1">
      <c r="A82" s="25"/>
      <c r="B82" s="25"/>
      <c r="C82" s="26"/>
      <c r="D82" s="26"/>
      <c r="E82" s="26"/>
      <c r="F82" s="26"/>
      <c r="G82" s="26"/>
      <c r="H82" s="26"/>
      <c r="I82" s="26"/>
      <c r="J82" s="26"/>
      <c r="K82" s="26"/>
      <c r="L82" s="26"/>
      <c r="M82" s="26"/>
      <c r="N82" s="26"/>
      <c r="O82" s="17" t="str">
        <f t="shared" si="1"/>
        <v/>
      </c>
      <c r="P82" s="28"/>
      <c r="Q82" s="27"/>
    </row>
    <row r="83" ht="15.75" customHeight="1">
      <c r="A83" s="25"/>
      <c r="B83" s="25"/>
      <c r="C83" s="26"/>
      <c r="D83" s="26"/>
      <c r="E83" s="26"/>
      <c r="F83" s="26"/>
      <c r="G83" s="26"/>
      <c r="H83" s="26"/>
      <c r="I83" s="26"/>
      <c r="J83" s="26"/>
      <c r="K83" s="26"/>
      <c r="L83" s="26"/>
      <c r="M83" s="26"/>
      <c r="N83" s="26"/>
      <c r="O83" s="17" t="str">
        <f t="shared" si="1"/>
        <v/>
      </c>
      <c r="P83" s="28"/>
      <c r="Q83" s="27"/>
    </row>
    <row r="84" ht="15.75" customHeight="1">
      <c r="A84" s="25"/>
      <c r="B84" s="25"/>
      <c r="C84" s="26"/>
      <c r="D84" s="26"/>
      <c r="E84" s="26"/>
      <c r="F84" s="26"/>
      <c r="G84" s="26"/>
      <c r="H84" s="26"/>
      <c r="I84" s="26"/>
      <c r="J84" s="26"/>
      <c r="K84" s="26"/>
      <c r="L84" s="26"/>
      <c r="M84" s="26"/>
      <c r="N84" s="26"/>
      <c r="O84" s="17" t="str">
        <f t="shared" si="1"/>
        <v/>
      </c>
      <c r="P84" s="28"/>
      <c r="Q84" s="27"/>
    </row>
    <row r="85" ht="15.75" customHeight="1">
      <c r="A85" s="25"/>
      <c r="B85" s="25"/>
      <c r="C85" s="26"/>
      <c r="D85" s="26"/>
      <c r="E85" s="26"/>
      <c r="F85" s="26"/>
      <c r="G85" s="26"/>
      <c r="H85" s="26"/>
      <c r="I85" s="26"/>
      <c r="J85" s="26"/>
      <c r="K85" s="26"/>
      <c r="L85" s="26"/>
      <c r="M85" s="26"/>
      <c r="N85" s="26"/>
      <c r="O85" s="17" t="str">
        <f t="shared" si="1"/>
        <v/>
      </c>
      <c r="P85" s="28"/>
      <c r="Q85" s="27"/>
    </row>
    <row r="86" ht="15.75" customHeight="1">
      <c r="A86" s="25"/>
      <c r="B86" s="25"/>
      <c r="C86" s="26"/>
      <c r="D86" s="26"/>
      <c r="E86" s="26"/>
      <c r="F86" s="26"/>
      <c r="G86" s="26"/>
      <c r="H86" s="26"/>
      <c r="I86" s="26"/>
      <c r="J86" s="26"/>
      <c r="K86" s="26"/>
      <c r="L86" s="26"/>
      <c r="M86" s="26"/>
      <c r="N86" s="26"/>
      <c r="O86" s="17" t="str">
        <f t="shared" si="1"/>
        <v/>
      </c>
      <c r="P86" s="28"/>
      <c r="Q86" s="27"/>
    </row>
    <row r="87" ht="15.75" customHeight="1">
      <c r="A87" s="25"/>
      <c r="B87" s="25"/>
      <c r="C87" s="26"/>
      <c r="D87" s="26"/>
      <c r="E87" s="26"/>
      <c r="F87" s="26"/>
      <c r="G87" s="26"/>
      <c r="H87" s="26"/>
      <c r="I87" s="26"/>
      <c r="J87" s="26"/>
      <c r="K87" s="26"/>
      <c r="L87" s="26"/>
      <c r="M87" s="26"/>
      <c r="N87" s="26"/>
      <c r="O87" s="17" t="str">
        <f t="shared" si="1"/>
        <v/>
      </c>
      <c r="P87" s="28"/>
      <c r="Q87" s="27"/>
    </row>
    <row r="88" ht="15.75" customHeight="1">
      <c r="A88" s="25"/>
      <c r="B88" s="25"/>
      <c r="C88" s="26"/>
      <c r="D88" s="26"/>
      <c r="E88" s="26"/>
      <c r="F88" s="26"/>
      <c r="G88" s="26"/>
      <c r="H88" s="26"/>
      <c r="I88" s="26"/>
      <c r="J88" s="26"/>
      <c r="K88" s="26"/>
      <c r="L88" s="26"/>
      <c r="M88" s="26"/>
      <c r="N88" s="26"/>
      <c r="O88" s="17" t="str">
        <f t="shared" si="1"/>
        <v/>
      </c>
      <c r="P88" s="28"/>
      <c r="Q88" s="27"/>
    </row>
    <row r="89" ht="15.75" customHeight="1">
      <c r="A89" s="25"/>
      <c r="B89" s="25"/>
      <c r="C89" s="26"/>
      <c r="D89" s="26"/>
      <c r="E89" s="26"/>
      <c r="F89" s="26"/>
      <c r="G89" s="26"/>
      <c r="H89" s="26"/>
      <c r="I89" s="26"/>
      <c r="J89" s="26"/>
      <c r="K89" s="26"/>
      <c r="L89" s="26"/>
      <c r="M89" s="26"/>
      <c r="N89" s="26"/>
      <c r="O89" s="17" t="str">
        <f t="shared" si="1"/>
        <v/>
      </c>
      <c r="P89" s="28"/>
      <c r="Q89" s="27"/>
    </row>
    <row r="90" ht="15.75" customHeight="1">
      <c r="A90" s="25"/>
      <c r="B90" s="25"/>
      <c r="C90" s="26"/>
      <c r="D90" s="26"/>
      <c r="E90" s="26"/>
      <c r="F90" s="26"/>
      <c r="G90" s="26"/>
      <c r="H90" s="26"/>
      <c r="I90" s="26"/>
      <c r="J90" s="26"/>
      <c r="K90" s="26"/>
      <c r="L90" s="26"/>
      <c r="M90" s="26"/>
      <c r="N90" s="26"/>
      <c r="O90" s="17" t="str">
        <f t="shared" si="1"/>
        <v/>
      </c>
      <c r="P90" s="28"/>
      <c r="Q90" s="27"/>
    </row>
    <row r="91" ht="15.75" customHeight="1">
      <c r="A91" s="25"/>
      <c r="B91" s="25"/>
      <c r="C91" s="26"/>
      <c r="D91" s="26"/>
      <c r="E91" s="26"/>
      <c r="F91" s="26"/>
      <c r="G91" s="26"/>
      <c r="H91" s="26"/>
      <c r="I91" s="26"/>
      <c r="J91" s="26"/>
      <c r="K91" s="26"/>
      <c r="L91" s="26"/>
      <c r="M91" s="26"/>
      <c r="N91" s="26"/>
      <c r="O91" s="17" t="str">
        <f t="shared" si="1"/>
        <v/>
      </c>
      <c r="P91" s="28"/>
      <c r="Q91" s="27"/>
    </row>
    <row r="92" ht="15.75" customHeight="1">
      <c r="A92" s="25"/>
      <c r="B92" s="25"/>
      <c r="C92" s="26"/>
      <c r="D92" s="26"/>
      <c r="E92" s="26"/>
      <c r="F92" s="26"/>
      <c r="G92" s="26"/>
      <c r="H92" s="26"/>
      <c r="I92" s="26"/>
      <c r="J92" s="26"/>
      <c r="K92" s="26"/>
      <c r="L92" s="26"/>
      <c r="M92" s="26"/>
      <c r="N92" s="26"/>
      <c r="O92" s="17" t="str">
        <f t="shared" si="1"/>
        <v/>
      </c>
      <c r="P92" s="28"/>
      <c r="Q92" s="27"/>
    </row>
    <row r="93" ht="15.75" customHeight="1">
      <c r="A93" s="25"/>
      <c r="B93" s="25"/>
      <c r="C93" s="26"/>
      <c r="D93" s="26"/>
      <c r="E93" s="26"/>
      <c r="F93" s="26"/>
      <c r="G93" s="26"/>
      <c r="H93" s="26"/>
      <c r="I93" s="26"/>
      <c r="J93" s="26"/>
      <c r="K93" s="26"/>
      <c r="L93" s="26"/>
      <c r="M93" s="26"/>
      <c r="N93" s="26"/>
      <c r="O93" s="17" t="str">
        <f t="shared" si="1"/>
        <v/>
      </c>
      <c r="P93" s="28"/>
      <c r="Q93" s="27"/>
    </row>
    <row r="94" ht="15.75" customHeight="1">
      <c r="A94" s="25"/>
      <c r="B94" s="25"/>
      <c r="C94" s="26"/>
      <c r="D94" s="26"/>
      <c r="E94" s="26"/>
      <c r="F94" s="26"/>
      <c r="G94" s="26"/>
      <c r="H94" s="26"/>
      <c r="I94" s="26"/>
      <c r="J94" s="26"/>
      <c r="K94" s="26"/>
      <c r="L94" s="26"/>
      <c r="M94" s="26"/>
      <c r="N94" s="26"/>
      <c r="O94" s="17" t="str">
        <f t="shared" si="1"/>
        <v/>
      </c>
      <c r="P94" s="28"/>
      <c r="Q94" s="27"/>
    </row>
    <row r="95" ht="15.75" customHeight="1">
      <c r="A95" s="25"/>
      <c r="B95" s="25"/>
      <c r="C95" s="26"/>
      <c r="D95" s="26"/>
      <c r="E95" s="26"/>
      <c r="F95" s="26"/>
      <c r="G95" s="26"/>
      <c r="H95" s="26"/>
      <c r="I95" s="26"/>
      <c r="J95" s="26"/>
      <c r="K95" s="26"/>
      <c r="L95" s="26"/>
      <c r="M95" s="26"/>
      <c r="N95" s="26"/>
      <c r="O95" s="17" t="str">
        <f t="shared" si="1"/>
        <v/>
      </c>
      <c r="P95" s="28"/>
      <c r="Q95" s="27"/>
    </row>
    <row r="96" ht="15.75" customHeight="1">
      <c r="A96" s="25"/>
      <c r="B96" s="25"/>
      <c r="C96" s="26"/>
      <c r="D96" s="26"/>
      <c r="E96" s="26"/>
      <c r="F96" s="26"/>
      <c r="G96" s="26"/>
      <c r="H96" s="26"/>
      <c r="I96" s="26"/>
      <c r="J96" s="26"/>
      <c r="K96" s="26"/>
      <c r="L96" s="26"/>
      <c r="M96" s="26"/>
      <c r="N96" s="26"/>
      <c r="O96" s="17" t="str">
        <f t="shared" si="1"/>
        <v/>
      </c>
      <c r="P96" s="28"/>
      <c r="Q96" s="27"/>
    </row>
    <row r="97" ht="15.75" customHeight="1">
      <c r="A97" s="25"/>
      <c r="B97" s="25"/>
      <c r="C97" s="26"/>
      <c r="D97" s="26"/>
      <c r="E97" s="26"/>
      <c r="F97" s="26"/>
      <c r="G97" s="26"/>
      <c r="H97" s="26"/>
      <c r="I97" s="26"/>
      <c r="J97" s="26"/>
      <c r="K97" s="26"/>
      <c r="L97" s="26"/>
      <c r="M97" s="26"/>
      <c r="N97" s="26"/>
      <c r="O97" s="17" t="str">
        <f t="shared" si="1"/>
        <v/>
      </c>
      <c r="P97" s="28"/>
      <c r="Q97" s="27"/>
    </row>
    <row r="98" ht="15.75" customHeight="1">
      <c r="A98" s="25"/>
      <c r="B98" s="25"/>
      <c r="C98" s="26"/>
      <c r="D98" s="26"/>
      <c r="E98" s="26"/>
      <c r="F98" s="26"/>
      <c r="G98" s="26"/>
      <c r="H98" s="26"/>
      <c r="I98" s="26"/>
      <c r="J98" s="26"/>
      <c r="K98" s="26"/>
      <c r="L98" s="26"/>
      <c r="M98" s="26"/>
      <c r="N98" s="26"/>
      <c r="O98" s="17" t="str">
        <f t="shared" si="1"/>
        <v/>
      </c>
      <c r="P98" s="28"/>
      <c r="Q98" s="27"/>
    </row>
    <row r="99" ht="15.75" customHeight="1">
      <c r="A99" s="25"/>
      <c r="B99" s="25"/>
      <c r="C99" s="26"/>
      <c r="D99" s="26"/>
      <c r="E99" s="26"/>
      <c r="F99" s="26"/>
      <c r="G99" s="26"/>
      <c r="H99" s="26"/>
      <c r="I99" s="26"/>
      <c r="J99" s="26"/>
      <c r="K99" s="26"/>
      <c r="L99" s="26"/>
      <c r="M99" s="26"/>
      <c r="N99" s="26"/>
      <c r="O99" s="17" t="str">
        <f t="shared" si="1"/>
        <v/>
      </c>
      <c r="P99" s="28"/>
      <c r="Q99" s="27"/>
    </row>
    <row r="100" ht="15.75" customHeight="1">
      <c r="A100" s="25"/>
      <c r="B100" s="25"/>
      <c r="C100" s="26"/>
      <c r="D100" s="26"/>
      <c r="E100" s="26"/>
      <c r="F100" s="26"/>
      <c r="G100" s="26"/>
      <c r="H100" s="26"/>
      <c r="I100" s="26"/>
      <c r="J100" s="26"/>
      <c r="K100" s="26"/>
      <c r="L100" s="26"/>
      <c r="M100" s="26"/>
      <c r="N100" s="26"/>
      <c r="O100" s="17" t="str">
        <f t="shared" si="1"/>
        <v/>
      </c>
      <c r="P100" s="28"/>
      <c r="Q100" s="27"/>
    </row>
    <row r="101" ht="15.75" customHeight="1">
      <c r="A101" s="25"/>
      <c r="B101" s="25"/>
      <c r="C101" s="26"/>
      <c r="D101" s="26"/>
      <c r="E101" s="26"/>
      <c r="F101" s="26"/>
      <c r="G101" s="26"/>
      <c r="H101" s="26"/>
      <c r="I101" s="26"/>
      <c r="J101" s="26"/>
      <c r="K101" s="26"/>
      <c r="L101" s="26"/>
      <c r="M101" s="26"/>
      <c r="N101" s="26"/>
      <c r="O101" s="17" t="str">
        <f t="shared" si="1"/>
        <v/>
      </c>
      <c r="P101" s="28"/>
      <c r="Q101" s="27"/>
    </row>
    <row r="102" ht="15.75" customHeight="1">
      <c r="A102" s="25"/>
      <c r="B102" s="25"/>
      <c r="C102" s="26"/>
      <c r="D102" s="26"/>
      <c r="E102" s="26"/>
      <c r="F102" s="26"/>
      <c r="G102" s="26"/>
      <c r="H102" s="26"/>
      <c r="I102" s="26"/>
      <c r="J102" s="26"/>
      <c r="K102" s="26"/>
      <c r="L102" s="26"/>
      <c r="M102" s="26"/>
      <c r="N102" s="26"/>
      <c r="O102" s="17" t="str">
        <f t="shared" si="1"/>
        <v/>
      </c>
      <c r="P102" s="28"/>
      <c r="Q102" s="27"/>
    </row>
    <row r="103" ht="15.75" customHeight="1">
      <c r="A103" s="25"/>
      <c r="B103" s="25"/>
      <c r="C103" s="26"/>
      <c r="D103" s="26"/>
      <c r="E103" s="26"/>
      <c r="F103" s="26"/>
      <c r="G103" s="26"/>
      <c r="H103" s="26"/>
      <c r="I103" s="26"/>
      <c r="J103" s="26"/>
      <c r="K103" s="26"/>
      <c r="L103" s="26"/>
      <c r="M103" s="26"/>
      <c r="N103" s="26"/>
      <c r="O103" s="17" t="str">
        <f t="shared" si="1"/>
        <v/>
      </c>
      <c r="P103" s="28"/>
      <c r="Q103" s="27"/>
    </row>
    <row r="104" ht="15.75" customHeight="1">
      <c r="A104" s="25"/>
      <c r="B104" s="25"/>
      <c r="C104" s="26"/>
      <c r="D104" s="26"/>
      <c r="E104" s="26"/>
      <c r="F104" s="26"/>
      <c r="G104" s="26"/>
      <c r="H104" s="26"/>
      <c r="I104" s="26"/>
      <c r="J104" s="26"/>
      <c r="K104" s="26"/>
      <c r="L104" s="26"/>
      <c r="M104" s="26"/>
      <c r="N104" s="26"/>
      <c r="O104" s="17" t="str">
        <f t="shared" si="1"/>
        <v/>
      </c>
      <c r="P104" s="28"/>
      <c r="Q104" s="27"/>
    </row>
    <row r="105" ht="15.75" customHeight="1">
      <c r="A105" s="25"/>
      <c r="B105" s="25"/>
      <c r="C105" s="26"/>
      <c r="D105" s="26"/>
      <c r="E105" s="26"/>
      <c r="F105" s="26"/>
      <c r="G105" s="26"/>
      <c r="H105" s="26"/>
      <c r="I105" s="26"/>
      <c r="J105" s="26"/>
      <c r="K105" s="26"/>
      <c r="L105" s="26"/>
      <c r="M105" s="26"/>
      <c r="N105" s="26"/>
      <c r="O105" s="17" t="str">
        <f t="shared" si="1"/>
        <v/>
      </c>
      <c r="P105" s="28"/>
      <c r="Q105" s="27"/>
    </row>
    <row r="106" ht="15.75" customHeight="1">
      <c r="A106" s="25"/>
      <c r="B106" s="25"/>
      <c r="C106" s="26"/>
      <c r="D106" s="26"/>
      <c r="E106" s="26"/>
      <c r="F106" s="26"/>
      <c r="G106" s="26"/>
      <c r="H106" s="26"/>
      <c r="I106" s="26"/>
      <c r="J106" s="26"/>
      <c r="K106" s="26"/>
      <c r="L106" s="26"/>
      <c r="M106" s="26"/>
      <c r="N106" s="26"/>
      <c r="O106" s="17" t="str">
        <f t="shared" si="1"/>
        <v/>
      </c>
      <c r="P106" s="28"/>
      <c r="Q106" s="27"/>
    </row>
    <row r="107" ht="15.75" customHeight="1">
      <c r="A107" s="25"/>
      <c r="B107" s="25"/>
      <c r="C107" s="26"/>
      <c r="D107" s="26"/>
      <c r="E107" s="26"/>
      <c r="F107" s="26"/>
      <c r="G107" s="26"/>
      <c r="H107" s="26"/>
      <c r="I107" s="26"/>
      <c r="J107" s="26"/>
      <c r="K107" s="26"/>
      <c r="L107" s="26"/>
      <c r="M107" s="26"/>
      <c r="N107" s="26"/>
      <c r="O107" s="17" t="str">
        <f t="shared" si="1"/>
        <v/>
      </c>
      <c r="P107" s="28"/>
      <c r="Q107" s="27"/>
    </row>
    <row r="108" ht="15.75" customHeight="1">
      <c r="A108" s="25"/>
      <c r="B108" s="25"/>
      <c r="C108" s="26"/>
      <c r="D108" s="26"/>
      <c r="E108" s="26"/>
      <c r="F108" s="26"/>
      <c r="G108" s="26"/>
      <c r="H108" s="26"/>
      <c r="I108" s="26"/>
      <c r="J108" s="26"/>
      <c r="K108" s="26"/>
      <c r="L108" s="26"/>
      <c r="M108" s="26"/>
      <c r="N108" s="26"/>
      <c r="O108" s="17" t="str">
        <f t="shared" si="1"/>
        <v/>
      </c>
      <c r="P108" s="28"/>
      <c r="Q108" s="27"/>
    </row>
    <row r="109" ht="15.75" customHeight="1">
      <c r="A109" s="25"/>
      <c r="B109" s="25"/>
      <c r="C109" s="26"/>
      <c r="D109" s="26"/>
      <c r="E109" s="26"/>
      <c r="F109" s="26"/>
      <c r="G109" s="26"/>
      <c r="H109" s="26"/>
      <c r="I109" s="26"/>
      <c r="J109" s="26"/>
      <c r="K109" s="26"/>
      <c r="L109" s="26"/>
      <c r="M109" s="26"/>
      <c r="N109" s="26"/>
      <c r="O109" s="17" t="str">
        <f t="shared" si="1"/>
        <v/>
      </c>
      <c r="P109" s="28"/>
      <c r="Q109" s="27"/>
    </row>
    <row r="110" ht="15.75" customHeight="1">
      <c r="A110" s="25"/>
      <c r="B110" s="25"/>
      <c r="C110" s="26"/>
      <c r="D110" s="26"/>
      <c r="E110" s="26"/>
      <c r="F110" s="26"/>
      <c r="G110" s="26"/>
      <c r="H110" s="26"/>
      <c r="I110" s="26"/>
      <c r="J110" s="26"/>
      <c r="K110" s="26"/>
      <c r="L110" s="26"/>
      <c r="M110" s="26"/>
      <c r="N110" s="26"/>
      <c r="O110" s="17" t="str">
        <f t="shared" si="1"/>
        <v/>
      </c>
      <c r="P110" s="28"/>
      <c r="Q110" s="27"/>
    </row>
    <row r="111" ht="15.75" customHeight="1">
      <c r="A111" s="25"/>
      <c r="B111" s="25"/>
      <c r="C111" s="26"/>
      <c r="D111" s="26"/>
      <c r="E111" s="26"/>
      <c r="F111" s="26"/>
      <c r="G111" s="26"/>
      <c r="H111" s="26"/>
      <c r="I111" s="26"/>
      <c r="J111" s="26"/>
      <c r="K111" s="26"/>
      <c r="L111" s="26"/>
      <c r="M111" s="26"/>
      <c r="N111" s="26"/>
      <c r="O111" s="17" t="str">
        <f t="shared" si="1"/>
        <v/>
      </c>
      <c r="P111" s="28"/>
      <c r="Q111" s="27"/>
    </row>
    <row r="112" ht="15.75" customHeight="1">
      <c r="A112" s="25"/>
      <c r="B112" s="25"/>
      <c r="C112" s="26"/>
      <c r="D112" s="26"/>
      <c r="E112" s="26"/>
      <c r="F112" s="26"/>
      <c r="G112" s="26"/>
      <c r="H112" s="26"/>
      <c r="I112" s="26"/>
      <c r="J112" s="26"/>
      <c r="K112" s="26"/>
      <c r="L112" s="26"/>
      <c r="M112" s="26"/>
      <c r="N112" s="26"/>
      <c r="O112" s="17" t="str">
        <f t="shared" si="1"/>
        <v/>
      </c>
      <c r="P112" s="28"/>
      <c r="Q112" s="27"/>
    </row>
    <row r="113" ht="15.75" customHeight="1">
      <c r="A113" s="25"/>
      <c r="B113" s="25"/>
      <c r="C113" s="26"/>
      <c r="D113" s="26"/>
      <c r="E113" s="26"/>
      <c r="F113" s="26"/>
      <c r="G113" s="26"/>
      <c r="H113" s="26"/>
      <c r="I113" s="26"/>
      <c r="J113" s="26"/>
      <c r="K113" s="26"/>
      <c r="L113" s="26"/>
      <c r="M113" s="26"/>
      <c r="N113" s="26"/>
      <c r="O113" s="17" t="str">
        <f t="shared" si="1"/>
        <v/>
      </c>
      <c r="P113" s="28"/>
      <c r="Q113" s="27"/>
    </row>
    <row r="114" ht="15.75" customHeight="1">
      <c r="A114" s="25"/>
      <c r="B114" s="25"/>
      <c r="C114" s="26"/>
      <c r="D114" s="26"/>
      <c r="E114" s="26"/>
      <c r="F114" s="26"/>
      <c r="G114" s="26"/>
      <c r="H114" s="26"/>
      <c r="I114" s="26"/>
      <c r="J114" s="26"/>
      <c r="K114" s="26"/>
      <c r="L114" s="26"/>
      <c r="M114" s="26"/>
      <c r="N114" s="26"/>
      <c r="O114" s="17" t="str">
        <f t="shared" si="1"/>
        <v/>
      </c>
      <c r="P114" s="28"/>
      <c r="Q114" s="27"/>
    </row>
    <row r="115" ht="15.75" customHeight="1">
      <c r="A115" s="25"/>
      <c r="B115" s="25"/>
      <c r="C115" s="26"/>
      <c r="D115" s="26"/>
      <c r="E115" s="26"/>
      <c r="F115" s="26"/>
      <c r="G115" s="26"/>
      <c r="H115" s="26"/>
      <c r="I115" s="26"/>
      <c r="J115" s="26"/>
      <c r="K115" s="26"/>
      <c r="L115" s="26"/>
      <c r="M115" s="26"/>
      <c r="N115" s="26"/>
      <c r="O115" s="17" t="str">
        <f t="shared" si="1"/>
        <v/>
      </c>
      <c r="P115" s="28"/>
      <c r="Q115" s="27"/>
    </row>
    <row r="116" ht="15.75" customHeight="1">
      <c r="A116" s="25"/>
      <c r="B116" s="25"/>
      <c r="C116" s="26"/>
      <c r="D116" s="26"/>
      <c r="E116" s="26"/>
      <c r="F116" s="26"/>
      <c r="G116" s="26"/>
      <c r="H116" s="26"/>
      <c r="I116" s="26"/>
      <c r="J116" s="26"/>
      <c r="K116" s="26"/>
      <c r="L116" s="26"/>
      <c r="M116" s="26"/>
      <c r="N116" s="26"/>
      <c r="O116" s="17" t="str">
        <f t="shared" si="1"/>
        <v/>
      </c>
      <c r="P116" s="28"/>
      <c r="Q116" s="27"/>
    </row>
    <row r="117" ht="15.75" customHeight="1">
      <c r="A117" s="25"/>
      <c r="B117" s="25"/>
      <c r="C117" s="26"/>
      <c r="D117" s="26"/>
      <c r="E117" s="26"/>
      <c r="F117" s="26"/>
      <c r="G117" s="26"/>
      <c r="H117" s="26"/>
      <c r="I117" s="26"/>
      <c r="J117" s="26"/>
      <c r="K117" s="26"/>
      <c r="L117" s="26"/>
      <c r="M117" s="26"/>
      <c r="N117" s="26"/>
      <c r="O117" s="17" t="str">
        <f t="shared" si="1"/>
        <v/>
      </c>
      <c r="P117" s="28"/>
      <c r="Q117" s="27"/>
    </row>
    <row r="118" ht="15.75" customHeight="1">
      <c r="A118" s="25"/>
      <c r="B118" s="25"/>
      <c r="C118" s="26"/>
      <c r="D118" s="26"/>
      <c r="E118" s="26"/>
      <c r="F118" s="26"/>
      <c r="G118" s="26"/>
      <c r="H118" s="26"/>
      <c r="I118" s="26"/>
      <c r="J118" s="26"/>
      <c r="K118" s="26"/>
      <c r="L118" s="26"/>
      <c r="M118" s="26"/>
      <c r="N118" s="26"/>
      <c r="O118" s="17" t="str">
        <f t="shared" si="1"/>
        <v/>
      </c>
      <c r="P118" s="28"/>
      <c r="Q118" s="27"/>
    </row>
    <row r="119" ht="15.75" customHeight="1">
      <c r="A119" s="25"/>
      <c r="B119" s="25"/>
      <c r="C119" s="26"/>
      <c r="D119" s="26"/>
      <c r="E119" s="26"/>
      <c r="F119" s="26"/>
      <c r="G119" s="26"/>
      <c r="H119" s="26"/>
      <c r="I119" s="26"/>
      <c r="J119" s="26"/>
      <c r="K119" s="26"/>
      <c r="L119" s="26"/>
      <c r="M119" s="26"/>
      <c r="N119" s="26"/>
      <c r="O119" s="17" t="str">
        <f t="shared" si="1"/>
        <v/>
      </c>
      <c r="P119" s="28"/>
      <c r="Q119" s="27"/>
    </row>
    <row r="120" ht="15.75" customHeight="1">
      <c r="A120" s="25"/>
      <c r="B120" s="25"/>
      <c r="C120" s="26"/>
      <c r="D120" s="26"/>
      <c r="E120" s="26"/>
      <c r="F120" s="26"/>
      <c r="G120" s="26"/>
      <c r="H120" s="26"/>
      <c r="I120" s="26"/>
      <c r="J120" s="26"/>
      <c r="K120" s="26"/>
      <c r="L120" s="26"/>
      <c r="M120" s="26"/>
      <c r="N120" s="26"/>
      <c r="O120" s="17" t="str">
        <f t="shared" si="1"/>
        <v/>
      </c>
      <c r="P120" s="28"/>
      <c r="Q120" s="27"/>
    </row>
    <row r="121" ht="15.75" customHeight="1">
      <c r="A121" s="25"/>
      <c r="B121" s="25"/>
      <c r="C121" s="26"/>
      <c r="D121" s="26"/>
      <c r="E121" s="26"/>
      <c r="F121" s="26"/>
      <c r="G121" s="26"/>
      <c r="H121" s="26"/>
      <c r="I121" s="26"/>
      <c r="J121" s="26"/>
      <c r="K121" s="26"/>
      <c r="L121" s="26"/>
      <c r="M121" s="26"/>
      <c r="N121" s="26"/>
      <c r="O121" s="17" t="str">
        <f t="shared" si="1"/>
        <v/>
      </c>
      <c r="P121" s="28"/>
      <c r="Q121" s="27"/>
    </row>
    <row r="122" ht="15.75" customHeight="1">
      <c r="A122" s="25"/>
      <c r="B122" s="25"/>
      <c r="C122" s="26"/>
      <c r="D122" s="26"/>
      <c r="E122" s="26"/>
      <c r="F122" s="26"/>
      <c r="G122" s="26"/>
      <c r="H122" s="26"/>
      <c r="I122" s="26"/>
      <c r="J122" s="26"/>
      <c r="K122" s="26"/>
      <c r="L122" s="26"/>
      <c r="M122" s="26"/>
      <c r="N122" s="26"/>
      <c r="O122" s="17" t="str">
        <f t="shared" si="1"/>
        <v/>
      </c>
      <c r="P122" s="28"/>
      <c r="Q122" s="27"/>
    </row>
    <row r="123" ht="15.75" customHeight="1">
      <c r="A123" s="25"/>
      <c r="B123" s="25"/>
      <c r="C123" s="26"/>
      <c r="D123" s="26"/>
      <c r="E123" s="26"/>
      <c r="F123" s="26"/>
      <c r="G123" s="26"/>
      <c r="H123" s="26"/>
      <c r="I123" s="26"/>
      <c r="J123" s="26"/>
      <c r="K123" s="26"/>
      <c r="L123" s="26"/>
      <c r="M123" s="26"/>
      <c r="N123" s="26"/>
      <c r="O123" s="17" t="str">
        <f t="shared" si="1"/>
        <v/>
      </c>
      <c r="P123" s="28"/>
      <c r="Q123" s="27"/>
    </row>
    <row r="124" ht="15.75" customHeight="1">
      <c r="A124" s="25"/>
      <c r="B124" s="25"/>
      <c r="C124" s="26"/>
      <c r="D124" s="26"/>
      <c r="E124" s="26"/>
      <c r="F124" s="26"/>
      <c r="G124" s="26"/>
      <c r="H124" s="26"/>
      <c r="I124" s="26"/>
      <c r="J124" s="26"/>
      <c r="K124" s="26"/>
      <c r="L124" s="26"/>
      <c r="M124" s="26"/>
      <c r="N124" s="26"/>
      <c r="O124" s="17" t="str">
        <f t="shared" si="1"/>
        <v/>
      </c>
      <c r="P124" s="28"/>
      <c r="Q124" s="27"/>
    </row>
    <row r="125" ht="15.75" customHeight="1">
      <c r="A125" s="25"/>
      <c r="B125" s="25"/>
      <c r="C125" s="26"/>
      <c r="D125" s="26"/>
      <c r="E125" s="26"/>
      <c r="F125" s="26"/>
      <c r="G125" s="26"/>
      <c r="H125" s="26"/>
      <c r="I125" s="26"/>
      <c r="J125" s="26"/>
      <c r="K125" s="26"/>
      <c r="L125" s="26"/>
      <c r="M125" s="26"/>
      <c r="N125" s="26"/>
      <c r="O125" s="17" t="str">
        <f t="shared" si="1"/>
        <v/>
      </c>
      <c r="P125" s="28"/>
      <c r="Q125" s="27"/>
    </row>
    <row r="126" ht="15.75" customHeight="1">
      <c r="A126" s="25"/>
      <c r="B126" s="25"/>
      <c r="C126" s="26"/>
      <c r="D126" s="26"/>
      <c r="E126" s="26"/>
      <c r="F126" s="26"/>
      <c r="G126" s="26"/>
      <c r="H126" s="26"/>
      <c r="I126" s="26"/>
      <c r="J126" s="26"/>
      <c r="K126" s="26"/>
      <c r="L126" s="26"/>
      <c r="M126" s="26"/>
      <c r="N126" s="26"/>
      <c r="O126" s="17" t="str">
        <f t="shared" si="1"/>
        <v/>
      </c>
      <c r="P126" s="28"/>
      <c r="Q126" s="27"/>
    </row>
    <row r="127" ht="15.75" customHeight="1">
      <c r="A127" s="25"/>
      <c r="B127" s="25"/>
      <c r="C127" s="26"/>
      <c r="D127" s="26"/>
      <c r="E127" s="26"/>
      <c r="F127" s="26"/>
      <c r="G127" s="26"/>
      <c r="H127" s="26"/>
      <c r="I127" s="26"/>
      <c r="J127" s="26"/>
      <c r="K127" s="26"/>
      <c r="L127" s="26"/>
      <c r="M127" s="26"/>
      <c r="N127" s="26"/>
      <c r="O127" s="17" t="str">
        <f t="shared" si="1"/>
        <v/>
      </c>
      <c r="P127" s="28"/>
      <c r="Q127" s="27"/>
    </row>
    <row r="128" ht="15.75" customHeight="1">
      <c r="A128" s="25"/>
      <c r="B128" s="25"/>
      <c r="C128" s="26"/>
      <c r="D128" s="26"/>
      <c r="E128" s="26"/>
      <c r="F128" s="26"/>
      <c r="G128" s="26"/>
      <c r="H128" s="26"/>
      <c r="I128" s="26"/>
      <c r="J128" s="26"/>
      <c r="K128" s="26"/>
      <c r="L128" s="26"/>
      <c r="M128" s="26"/>
      <c r="N128" s="26"/>
      <c r="O128" s="17" t="str">
        <f t="shared" si="1"/>
        <v/>
      </c>
      <c r="P128" s="28"/>
      <c r="Q128" s="27"/>
    </row>
    <row r="129" ht="15.75" customHeight="1">
      <c r="A129" s="25"/>
      <c r="B129" s="25"/>
      <c r="C129" s="26"/>
      <c r="D129" s="26"/>
      <c r="E129" s="26"/>
      <c r="F129" s="26"/>
      <c r="G129" s="26"/>
      <c r="H129" s="26"/>
      <c r="I129" s="26"/>
      <c r="J129" s="26"/>
      <c r="K129" s="26"/>
      <c r="L129" s="26"/>
      <c r="M129" s="26"/>
      <c r="N129" s="26"/>
      <c r="O129" s="17" t="str">
        <f t="shared" si="1"/>
        <v/>
      </c>
      <c r="P129" s="28"/>
      <c r="Q129" s="27"/>
    </row>
    <row r="130" ht="15.75" customHeight="1">
      <c r="A130" s="25"/>
      <c r="B130" s="25"/>
      <c r="C130" s="26"/>
      <c r="D130" s="26"/>
      <c r="E130" s="26"/>
      <c r="F130" s="26"/>
      <c r="G130" s="26"/>
      <c r="H130" s="26"/>
      <c r="I130" s="26"/>
      <c r="J130" s="26"/>
      <c r="K130" s="26"/>
      <c r="L130" s="26"/>
      <c r="M130" s="26"/>
      <c r="N130" s="26"/>
      <c r="O130" s="17" t="str">
        <f t="shared" si="1"/>
        <v/>
      </c>
      <c r="P130" s="28"/>
      <c r="Q130" s="27"/>
    </row>
    <row r="131" ht="15.75" customHeight="1">
      <c r="A131" s="25"/>
      <c r="B131" s="25"/>
      <c r="C131" s="26"/>
      <c r="D131" s="26"/>
      <c r="E131" s="26"/>
      <c r="F131" s="26"/>
      <c r="G131" s="26"/>
      <c r="H131" s="26"/>
      <c r="I131" s="26"/>
      <c r="J131" s="26"/>
      <c r="K131" s="26"/>
      <c r="L131" s="26"/>
      <c r="M131" s="26"/>
      <c r="N131" s="26"/>
      <c r="O131" s="17" t="str">
        <f t="shared" si="1"/>
        <v/>
      </c>
      <c r="P131" s="28"/>
      <c r="Q131" s="27"/>
    </row>
    <row r="132" ht="15.75" customHeight="1">
      <c r="A132" s="25"/>
      <c r="B132" s="25"/>
      <c r="C132" s="26"/>
      <c r="D132" s="26"/>
      <c r="E132" s="26"/>
      <c r="F132" s="26"/>
      <c r="G132" s="26"/>
      <c r="H132" s="26"/>
      <c r="I132" s="26"/>
      <c r="J132" s="26"/>
      <c r="K132" s="26"/>
      <c r="L132" s="26"/>
      <c r="M132" s="26"/>
      <c r="N132" s="26"/>
      <c r="O132" s="17" t="str">
        <f t="shared" si="1"/>
        <v/>
      </c>
      <c r="P132" s="28"/>
      <c r="Q132" s="27"/>
    </row>
    <row r="133" ht="15.75" customHeight="1">
      <c r="A133" s="25"/>
      <c r="B133" s="25"/>
      <c r="C133" s="26"/>
      <c r="D133" s="26"/>
      <c r="E133" s="26"/>
      <c r="F133" s="26"/>
      <c r="G133" s="26"/>
      <c r="H133" s="26"/>
      <c r="I133" s="26"/>
      <c r="J133" s="26"/>
      <c r="K133" s="26"/>
      <c r="L133" s="26"/>
      <c r="M133" s="26"/>
      <c r="N133" s="26"/>
      <c r="O133" s="17" t="str">
        <f t="shared" si="1"/>
        <v/>
      </c>
      <c r="P133" s="28"/>
      <c r="Q133" s="27"/>
    </row>
    <row r="134" ht="15.75" customHeight="1">
      <c r="A134" s="25"/>
      <c r="B134" s="25"/>
      <c r="C134" s="26"/>
      <c r="D134" s="26"/>
      <c r="E134" s="26"/>
      <c r="F134" s="26"/>
      <c r="G134" s="26"/>
      <c r="H134" s="26"/>
      <c r="I134" s="26"/>
      <c r="J134" s="26"/>
      <c r="K134" s="26"/>
      <c r="L134" s="26"/>
      <c r="M134" s="26"/>
      <c r="N134" s="26"/>
      <c r="O134" s="17" t="str">
        <f t="shared" si="1"/>
        <v/>
      </c>
      <c r="P134" s="28"/>
      <c r="Q134" s="27"/>
    </row>
    <row r="135" ht="15.75" customHeight="1">
      <c r="A135" s="25"/>
      <c r="B135" s="25"/>
      <c r="C135" s="26"/>
      <c r="D135" s="26"/>
      <c r="E135" s="26"/>
      <c r="F135" s="26"/>
      <c r="G135" s="26"/>
      <c r="H135" s="26"/>
      <c r="I135" s="26"/>
      <c r="J135" s="26"/>
      <c r="K135" s="26"/>
      <c r="L135" s="26"/>
      <c r="M135" s="26"/>
      <c r="N135" s="26"/>
      <c r="O135" s="17" t="str">
        <f t="shared" si="1"/>
        <v/>
      </c>
      <c r="P135" s="28"/>
      <c r="Q135" s="27"/>
    </row>
    <row r="136" ht="15.75" customHeight="1">
      <c r="A136" s="25"/>
      <c r="B136" s="25"/>
      <c r="C136" s="26"/>
      <c r="D136" s="26"/>
      <c r="E136" s="26"/>
      <c r="F136" s="26"/>
      <c r="G136" s="26"/>
      <c r="H136" s="26"/>
      <c r="I136" s="26"/>
      <c r="J136" s="26"/>
      <c r="K136" s="26"/>
      <c r="L136" s="26"/>
      <c r="M136" s="26"/>
      <c r="N136" s="26"/>
      <c r="O136" s="17" t="str">
        <f t="shared" si="1"/>
        <v/>
      </c>
      <c r="P136" s="28"/>
      <c r="Q136" s="27"/>
    </row>
    <row r="137" ht="15.75" customHeight="1">
      <c r="A137" s="25"/>
      <c r="B137" s="25"/>
      <c r="C137" s="26"/>
      <c r="D137" s="26"/>
      <c r="E137" s="26"/>
      <c r="F137" s="26"/>
      <c r="G137" s="26"/>
      <c r="H137" s="26"/>
      <c r="I137" s="26"/>
      <c r="J137" s="26"/>
      <c r="K137" s="26"/>
      <c r="L137" s="26"/>
      <c r="M137" s="26"/>
      <c r="N137" s="26"/>
      <c r="O137" s="17" t="str">
        <f t="shared" si="1"/>
        <v/>
      </c>
      <c r="P137" s="28"/>
      <c r="Q137" s="27"/>
    </row>
    <row r="138" ht="15.75" customHeight="1">
      <c r="A138" s="25"/>
      <c r="B138" s="25"/>
      <c r="C138" s="26"/>
      <c r="D138" s="26"/>
      <c r="E138" s="26"/>
      <c r="F138" s="26"/>
      <c r="G138" s="26"/>
      <c r="H138" s="26"/>
      <c r="I138" s="26"/>
      <c r="J138" s="26"/>
      <c r="K138" s="26"/>
      <c r="L138" s="26"/>
      <c r="M138" s="26"/>
      <c r="N138" s="26"/>
      <c r="O138" s="17" t="str">
        <f t="shared" si="1"/>
        <v/>
      </c>
      <c r="P138" s="28"/>
      <c r="Q138" s="27"/>
    </row>
    <row r="139" ht="15.75" customHeight="1">
      <c r="A139" s="25"/>
      <c r="B139" s="25"/>
      <c r="C139" s="26"/>
      <c r="D139" s="26"/>
      <c r="E139" s="26"/>
      <c r="F139" s="26"/>
      <c r="G139" s="26"/>
      <c r="H139" s="26"/>
      <c r="I139" s="26"/>
      <c r="J139" s="26"/>
      <c r="K139" s="26"/>
      <c r="L139" s="26"/>
      <c r="M139" s="26"/>
      <c r="N139" s="26"/>
      <c r="O139" s="17" t="str">
        <f t="shared" si="1"/>
        <v/>
      </c>
      <c r="P139" s="28"/>
      <c r="Q139" s="27"/>
    </row>
    <row r="140" ht="15.75" customHeight="1">
      <c r="A140" s="25"/>
      <c r="B140" s="25"/>
      <c r="C140" s="26"/>
      <c r="D140" s="26"/>
      <c r="E140" s="26"/>
      <c r="F140" s="26"/>
      <c r="G140" s="26"/>
      <c r="H140" s="26"/>
      <c r="I140" s="26"/>
      <c r="J140" s="26"/>
      <c r="K140" s="26"/>
      <c r="L140" s="26"/>
      <c r="M140" s="26"/>
      <c r="N140" s="26"/>
      <c r="O140" s="17" t="str">
        <f t="shared" si="1"/>
        <v/>
      </c>
      <c r="P140" s="28"/>
      <c r="Q140" s="27"/>
    </row>
    <row r="141" ht="15.75" customHeight="1">
      <c r="A141" s="25"/>
      <c r="B141" s="25"/>
      <c r="C141" s="26"/>
      <c r="D141" s="26"/>
      <c r="E141" s="26"/>
      <c r="F141" s="26"/>
      <c r="G141" s="26"/>
      <c r="H141" s="26"/>
      <c r="I141" s="26"/>
      <c r="J141" s="26"/>
      <c r="K141" s="26"/>
      <c r="L141" s="26"/>
      <c r="M141" s="26"/>
      <c r="N141" s="26"/>
      <c r="O141" s="17" t="str">
        <f t="shared" si="1"/>
        <v/>
      </c>
      <c r="P141" s="28"/>
      <c r="Q141" s="27"/>
    </row>
    <row r="142" ht="15.75" customHeight="1">
      <c r="A142" s="25"/>
      <c r="B142" s="25"/>
      <c r="C142" s="26"/>
      <c r="D142" s="26"/>
      <c r="E142" s="26"/>
      <c r="F142" s="26"/>
      <c r="G142" s="26"/>
      <c r="H142" s="26"/>
      <c r="I142" s="26"/>
      <c r="J142" s="26"/>
      <c r="K142" s="26"/>
      <c r="L142" s="26"/>
      <c r="M142" s="26"/>
      <c r="N142" s="26"/>
      <c r="O142" s="17" t="str">
        <f t="shared" si="1"/>
        <v/>
      </c>
      <c r="P142" s="28"/>
      <c r="Q142" s="27"/>
    </row>
    <row r="143" ht="15.75" customHeight="1">
      <c r="A143" s="25"/>
      <c r="B143" s="25"/>
      <c r="C143" s="26"/>
      <c r="D143" s="26"/>
      <c r="E143" s="26"/>
      <c r="F143" s="26"/>
      <c r="G143" s="26"/>
      <c r="H143" s="26"/>
      <c r="I143" s="26"/>
      <c r="J143" s="26"/>
      <c r="K143" s="26"/>
      <c r="L143" s="26"/>
      <c r="M143" s="26"/>
      <c r="N143" s="26"/>
      <c r="O143" s="17" t="str">
        <f t="shared" si="1"/>
        <v/>
      </c>
      <c r="P143" s="28"/>
      <c r="Q143" s="27"/>
    </row>
    <row r="144" ht="15.75" customHeight="1">
      <c r="A144" s="25"/>
      <c r="B144" s="25"/>
      <c r="C144" s="26"/>
      <c r="D144" s="26"/>
      <c r="E144" s="26"/>
      <c r="F144" s="26"/>
      <c r="G144" s="26"/>
      <c r="H144" s="26"/>
      <c r="I144" s="26"/>
      <c r="J144" s="26"/>
      <c r="K144" s="26"/>
      <c r="L144" s="26"/>
      <c r="M144" s="26"/>
      <c r="N144" s="26"/>
      <c r="O144" s="17" t="str">
        <f t="shared" si="1"/>
        <v/>
      </c>
      <c r="P144" s="28"/>
      <c r="Q144" s="27"/>
    </row>
    <row r="145" ht="15.75" customHeight="1">
      <c r="A145" s="25"/>
      <c r="B145" s="25"/>
      <c r="C145" s="26"/>
      <c r="D145" s="26"/>
      <c r="E145" s="26"/>
      <c r="F145" s="26"/>
      <c r="G145" s="26"/>
      <c r="H145" s="26"/>
      <c r="I145" s="26"/>
      <c r="J145" s="26"/>
      <c r="K145" s="26"/>
      <c r="L145" s="26"/>
      <c r="M145" s="26"/>
      <c r="N145" s="26"/>
      <c r="O145" s="17" t="str">
        <f t="shared" si="1"/>
        <v/>
      </c>
      <c r="P145" s="28"/>
      <c r="Q145" s="27"/>
    </row>
    <row r="146" ht="15.75" customHeight="1">
      <c r="A146" s="25"/>
      <c r="B146" s="25"/>
      <c r="C146" s="26"/>
      <c r="D146" s="26"/>
      <c r="E146" s="26"/>
      <c r="F146" s="26"/>
      <c r="G146" s="26"/>
      <c r="H146" s="26"/>
      <c r="I146" s="26"/>
      <c r="J146" s="26"/>
      <c r="K146" s="26"/>
      <c r="L146" s="26"/>
      <c r="M146" s="26"/>
      <c r="N146" s="26"/>
      <c r="O146" s="17" t="str">
        <f t="shared" si="1"/>
        <v/>
      </c>
      <c r="P146" s="28"/>
      <c r="Q146" s="27"/>
    </row>
    <row r="147" ht="15.75" customHeight="1">
      <c r="A147" s="25"/>
      <c r="B147" s="25"/>
      <c r="C147" s="26"/>
      <c r="D147" s="26"/>
      <c r="E147" s="26"/>
      <c r="F147" s="26"/>
      <c r="G147" s="26"/>
      <c r="H147" s="26"/>
      <c r="I147" s="26"/>
      <c r="J147" s="26"/>
      <c r="K147" s="26"/>
      <c r="L147" s="26"/>
      <c r="M147" s="26"/>
      <c r="N147" s="26"/>
      <c r="O147" s="17" t="str">
        <f t="shared" si="1"/>
        <v/>
      </c>
      <c r="P147" s="28"/>
      <c r="Q147" s="27"/>
    </row>
    <row r="148" ht="15.75" customHeight="1">
      <c r="A148" s="25"/>
      <c r="B148" s="25"/>
      <c r="C148" s="26"/>
      <c r="D148" s="26"/>
      <c r="E148" s="26"/>
      <c r="F148" s="26"/>
      <c r="G148" s="26"/>
      <c r="H148" s="26"/>
      <c r="I148" s="26"/>
      <c r="J148" s="26"/>
      <c r="K148" s="26"/>
      <c r="L148" s="26"/>
      <c r="M148" s="26"/>
      <c r="N148" s="26"/>
      <c r="O148" s="17" t="str">
        <f t="shared" si="1"/>
        <v/>
      </c>
      <c r="P148" s="28"/>
      <c r="Q148" s="27"/>
    </row>
    <row r="149" ht="15.75" customHeight="1">
      <c r="A149" s="25"/>
      <c r="B149" s="25"/>
      <c r="C149" s="26"/>
      <c r="D149" s="26"/>
      <c r="E149" s="26"/>
      <c r="F149" s="26"/>
      <c r="G149" s="26"/>
      <c r="H149" s="26"/>
      <c r="I149" s="26"/>
      <c r="J149" s="26"/>
      <c r="K149" s="26"/>
      <c r="L149" s="26"/>
      <c r="M149" s="26"/>
      <c r="N149" s="26"/>
      <c r="O149" s="17" t="str">
        <f t="shared" si="1"/>
        <v/>
      </c>
      <c r="P149" s="28"/>
      <c r="Q149" s="27"/>
    </row>
    <row r="150" ht="15.75" customHeight="1">
      <c r="A150" s="25"/>
      <c r="B150" s="25"/>
      <c r="C150" s="26"/>
      <c r="D150" s="26"/>
      <c r="E150" s="26"/>
      <c r="F150" s="26"/>
      <c r="G150" s="26"/>
      <c r="H150" s="26"/>
      <c r="I150" s="26"/>
      <c r="J150" s="26"/>
      <c r="K150" s="26"/>
      <c r="L150" s="26"/>
      <c r="M150" s="26"/>
      <c r="N150" s="26"/>
      <c r="O150" s="17" t="str">
        <f t="shared" si="1"/>
        <v/>
      </c>
      <c r="P150" s="28"/>
      <c r="Q150" s="27"/>
    </row>
    <row r="151" ht="15.75" customHeight="1">
      <c r="A151" s="25"/>
      <c r="B151" s="25"/>
      <c r="C151" s="26"/>
      <c r="D151" s="26"/>
      <c r="E151" s="26"/>
      <c r="F151" s="26"/>
      <c r="G151" s="26"/>
      <c r="H151" s="26"/>
      <c r="I151" s="26"/>
      <c r="J151" s="26"/>
      <c r="K151" s="26"/>
      <c r="L151" s="26"/>
      <c r="M151" s="26"/>
      <c r="N151" s="26"/>
      <c r="O151" s="17" t="str">
        <f t="shared" si="1"/>
        <v/>
      </c>
      <c r="P151" s="28"/>
      <c r="Q151" s="27"/>
    </row>
    <row r="152" ht="15.75" customHeight="1">
      <c r="A152" s="25"/>
      <c r="B152" s="25"/>
      <c r="C152" s="26"/>
      <c r="D152" s="26"/>
      <c r="E152" s="26"/>
      <c r="F152" s="26"/>
      <c r="G152" s="26"/>
      <c r="H152" s="26"/>
      <c r="I152" s="26"/>
      <c r="J152" s="26"/>
      <c r="K152" s="26"/>
      <c r="L152" s="26"/>
      <c r="M152" s="26"/>
      <c r="N152" s="26"/>
      <c r="O152" s="17" t="str">
        <f t="shared" si="1"/>
        <v/>
      </c>
      <c r="P152" s="28"/>
      <c r="Q152" s="27"/>
    </row>
    <row r="153" ht="15.75" customHeight="1">
      <c r="A153" s="25"/>
      <c r="B153" s="25"/>
      <c r="C153" s="26"/>
      <c r="D153" s="26"/>
      <c r="E153" s="26"/>
      <c r="F153" s="26"/>
      <c r="G153" s="26"/>
      <c r="H153" s="26"/>
      <c r="I153" s="26"/>
      <c r="J153" s="26"/>
      <c r="K153" s="26"/>
      <c r="L153" s="26"/>
      <c r="M153" s="26"/>
      <c r="N153" s="26"/>
      <c r="O153" s="17" t="str">
        <f t="shared" si="1"/>
        <v/>
      </c>
      <c r="P153" s="28"/>
      <c r="Q153" s="27"/>
    </row>
    <row r="154" ht="15.75" customHeight="1">
      <c r="A154" s="25"/>
      <c r="B154" s="25"/>
      <c r="C154" s="26"/>
      <c r="D154" s="26"/>
      <c r="E154" s="26"/>
      <c r="F154" s="26"/>
      <c r="G154" s="26"/>
      <c r="H154" s="26"/>
      <c r="I154" s="26"/>
      <c r="J154" s="26"/>
      <c r="K154" s="26"/>
      <c r="L154" s="26"/>
      <c r="M154" s="26"/>
      <c r="N154" s="26"/>
      <c r="O154" s="17" t="str">
        <f t="shared" si="1"/>
        <v/>
      </c>
      <c r="P154" s="28"/>
      <c r="Q154" s="27"/>
    </row>
    <row r="155" ht="15.75" customHeight="1">
      <c r="A155" s="25"/>
      <c r="B155" s="25"/>
      <c r="C155" s="26"/>
      <c r="D155" s="26"/>
      <c r="E155" s="26"/>
      <c r="F155" s="26"/>
      <c r="G155" s="26"/>
      <c r="H155" s="26"/>
      <c r="I155" s="26"/>
      <c r="J155" s="26"/>
      <c r="K155" s="26"/>
      <c r="L155" s="26"/>
      <c r="M155" s="26"/>
      <c r="N155" s="26"/>
      <c r="O155" s="17" t="str">
        <f t="shared" si="1"/>
        <v/>
      </c>
      <c r="P155" s="28"/>
      <c r="Q155" s="27"/>
    </row>
    <row r="156" ht="15.75" customHeight="1">
      <c r="A156" s="25"/>
      <c r="B156" s="25"/>
      <c r="C156" s="26"/>
      <c r="D156" s="26"/>
      <c r="E156" s="26"/>
      <c r="F156" s="26"/>
      <c r="G156" s="26"/>
      <c r="H156" s="26"/>
      <c r="I156" s="26"/>
      <c r="J156" s="26"/>
      <c r="K156" s="26"/>
      <c r="L156" s="26"/>
      <c r="M156" s="26"/>
      <c r="N156" s="26"/>
      <c r="O156" s="17" t="str">
        <f t="shared" si="1"/>
        <v/>
      </c>
      <c r="P156" s="28"/>
      <c r="Q156" s="27"/>
    </row>
    <row r="157" ht="15.75" customHeight="1">
      <c r="A157" s="25"/>
      <c r="B157" s="25"/>
      <c r="C157" s="26"/>
      <c r="D157" s="26"/>
      <c r="E157" s="26"/>
      <c r="F157" s="26"/>
      <c r="G157" s="26"/>
      <c r="H157" s="26"/>
      <c r="I157" s="26"/>
      <c r="J157" s="26"/>
      <c r="K157" s="26"/>
      <c r="L157" s="26"/>
      <c r="M157" s="26"/>
      <c r="N157" s="26"/>
      <c r="O157" s="17" t="str">
        <f t="shared" si="1"/>
        <v/>
      </c>
      <c r="P157" s="28"/>
      <c r="Q157" s="27"/>
    </row>
    <row r="158" ht="15.75" customHeight="1">
      <c r="A158" s="25"/>
      <c r="B158" s="25"/>
      <c r="C158" s="26"/>
      <c r="D158" s="26"/>
      <c r="E158" s="26"/>
      <c r="F158" s="26"/>
      <c r="G158" s="26"/>
      <c r="H158" s="26"/>
      <c r="I158" s="26"/>
      <c r="J158" s="26"/>
      <c r="K158" s="26"/>
      <c r="L158" s="26"/>
      <c r="M158" s="26"/>
      <c r="N158" s="26"/>
      <c r="O158" s="17" t="str">
        <f t="shared" si="1"/>
        <v/>
      </c>
      <c r="P158" s="28"/>
      <c r="Q158" s="27"/>
    </row>
    <row r="159" ht="15.75" customHeight="1">
      <c r="A159" s="25"/>
      <c r="B159" s="25"/>
      <c r="C159" s="26"/>
      <c r="D159" s="26"/>
      <c r="E159" s="26"/>
      <c r="F159" s="26"/>
      <c r="G159" s="26"/>
      <c r="H159" s="26"/>
      <c r="I159" s="26"/>
      <c r="J159" s="26"/>
      <c r="K159" s="26"/>
      <c r="L159" s="26"/>
      <c r="M159" s="26"/>
      <c r="N159" s="26"/>
      <c r="O159" s="17" t="str">
        <f t="shared" si="1"/>
        <v/>
      </c>
      <c r="P159" s="28"/>
      <c r="Q159" s="27"/>
    </row>
    <row r="160" ht="15.75" customHeight="1">
      <c r="A160" s="25"/>
      <c r="B160" s="25"/>
      <c r="C160" s="26"/>
      <c r="D160" s="26"/>
      <c r="E160" s="26"/>
      <c r="F160" s="26"/>
      <c r="G160" s="26"/>
      <c r="H160" s="26"/>
      <c r="I160" s="26"/>
      <c r="J160" s="26"/>
      <c r="K160" s="26"/>
      <c r="L160" s="26"/>
      <c r="M160" s="26"/>
      <c r="N160" s="26"/>
      <c r="O160" s="17" t="str">
        <f t="shared" si="1"/>
        <v/>
      </c>
      <c r="P160" s="28"/>
      <c r="Q160" s="27"/>
    </row>
    <row r="161" ht="15.75" customHeight="1">
      <c r="A161" s="25"/>
      <c r="B161" s="25"/>
      <c r="C161" s="26"/>
      <c r="D161" s="26"/>
      <c r="E161" s="26"/>
      <c r="F161" s="26"/>
      <c r="G161" s="26"/>
      <c r="H161" s="26"/>
      <c r="I161" s="26"/>
      <c r="J161" s="26"/>
      <c r="K161" s="26"/>
      <c r="L161" s="26"/>
      <c r="M161" s="26"/>
      <c r="N161" s="26"/>
      <c r="O161" s="17" t="str">
        <f t="shared" si="1"/>
        <v/>
      </c>
      <c r="P161" s="28"/>
      <c r="Q161" s="27"/>
    </row>
    <row r="162" ht="15.75" customHeight="1">
      <c r="A162" s="25"/>
      <c r="B162" s="25"/>
      <c r="C162" s="26"/>
      <c r="D162" s="26"/>
      <c r="E162" s="26"/>
      <c r="F162" s="26"/>
      <c r="G162" s="26"/>
      <c r="H162" s="26"/>
      <c r="I162" s="26"/>
      <c r="J162" s="26"/>
      <c r="K162" s="26"/>
      <c r="L162" s="26"/>
      <c r="M162" s="26"/>
      <c r="N162" s="26"/>
      <c r="O162" s="17" t="str">
        <f t="shared" si="1"/>
        <v/>
      </c>
      <c r="P162" s="28"/>
      <c r="Q162" s="27"/>
    </row>
    <row r="163" ht="15.75" customHeight="1">
      <c r="A163" s="25"/>
      <c r="B163" s="25"/>
      <c r="C163" s="26"/>
      <c r="D163" s="26"/>
      <c r="E163" s="26"/>
      <c r="F163" s="26"/>
      <c r="G163" s="26"/>
      <c r="H163" s="26"/>
      <c r="I163" s="26"/>
      <c r="J163" s="26"/>
      <c r="K163" s="26"/>
      <c r="L163" s="26"/>
      <c r="M163" s="26"/>
      <c r="N163" s="26"/>
      <c r="O163" s="17" t="str">
        <f t="shared" si="1"/>
        <v/>
      </c>
      <c r="P163" s="28"/>
      <c r="Q163" s="27"/>
    </row>
    <row r="164" ht="15.75" customHeight="1">
      <c r="A164" s="25"/>
      <c r="B164" s="25"/>
      <c r="C164" s="26"/>
      <c r="D164" s="26"/>
      <c r="E164" s="26"/>
      <c r="F164" s="26"/>
      <c r="G164" s="26"/>
      <c r="H164" s="26"/>
      <c r="I164" s="26"/>
      <c r="J164" s="26"/>
      <c r="K164" s="26"/>
      <c r="L164" s="26"/>
      <c r="M164" s="26"/>
      <c r="N164" s="26"/>
      <c r="O164" s="17" t="str">
        <f t="shared" si="1"/>
        <v/>
      </c>
      <c r="P164" s="28"/>
      <c r="Q164" s="27"/>
    </row>
    <row r="165" ht="15.75" customHeight="1">
      <c r="A165" s="25"/>
      <c r="B165" s="25"/>
      <c r="C165" s="26"/>
      <c r="D165" s="26"/>
      <c r="E165" s="26"/>
      <c r="F165" s="26"/>
      <c r="G165" s="26"/>
      <c r="H165" s="26"/>
      <c r="I165" s="26"/>
      <c r="J165" s="26"/>
      <c r="K165" s="26"/>
      <c r="L165" s="26"/>
      <c r="M165" s="26"/>
      <c r="N165" s="26"/>
      <c r="O165" s="17" t="str">
        <f t="shared" si="1"/>
        <v/>
      </c>
      <c r="P165" s="28"/>
      <c r="Q165" s="27"/>
    </row>
    <row r="166" ht="15.75" customHeight="1">
      <c r="A166" s="25"/>
      <c r="B166" s="25"/>
      <c r="C166" s="26"/>
      <c r="D166" s="26"/>
      <c r="E166" s="26"/>
      <c r="F166" s="26"/>
      <c r="G166" s="26"/>
      <c r="H166" s="26"/>
      <c r="I166" s="26"/>
      <c r="J166" s="26"/>
      <c r="K166" s="26"/>
      <c r="L166" s="26"/>
      <c r="M166" s="26"/>
      <c r="N166" s="26"/>
      <c r="O166" s="17" t="str">
        <f t="shared" si="1"/>
        <v/>
      </c>
      <c r="P166" s="28"/>
      <c r="Q166" s="27"/>
    </row>
    <row r="167" ht="15.75" customHeight="1">
      <c r="A167" s="25"/>
      <c r="B167" s="25"/>
      <c r="C167" s="26"/>
      <c r="D167" s="26"/>
      <c r="E167" s="26"/>
      <c r="F167" s="26"/>
      <c r="G167" s="26"/>
      <c r="H167" s="26"/>
      <c r="I167" s="26"/>
      <c r="J167" s="26"/>
      <c r="K167" s="26"/>
      <c r="L167" s="26"/>
      <c r="M167" s="26"/>
      <c r="N167" s="26"/>
      <c r="O167" s="17" t="str">
        <f t="shared" si="1"/>
        <v/>
      </c>
      <c r="P167" s="28"/>
      <c r="Q167" s="27"/>
    </row>
    <row r="168" ht="15.75" customHeight="1">
      <c r="A168" s="25"/>
      <c r="B168" s="25"/>
      <c r="C168" s="26"/>
      <c r="D168" s="26"/>
      <c r="E168" s="26"/>
      <c r="F168" s="26"/>
      <c r="G168" s="26"/>
      <c r="H168" s="26"/>
      <c r="I168" s="26"/>
      <c r="J168" s="26"/>
      <c r="K168" s="26"/>
      <c r="L168" s="26"/>
      <c r="M168" s="26"/>
      <c r="N168" s="26"/>
      <c r="O168" s="17" t="str">
        <f t="shared" si="1"/>
        <v/>
      </c>
      <c r="P168" s="28"/>
      <c r="Q168" s="27"/>
    </row>
    <row r="169" ht="15.75" customHeight="1">
      <c r="A169" s="25"/>
      <c r="B169" s="25"/>
      <c r="C169" s="26"/>
      <c r="D169" s="26"/>
      <c r="E169" s="26"/>
      <c r="F169" s="26"/>
      <c r="G169" s="26"/>
      <c r="H169" s="26"/>
      <c r="I169" s="26"/>
      <c r="J169" s="26"/>
      <c r="K169" s="26"/>
      <c r="L169" s="26"/>
      <c r="M169" s="26"/>
      <c r="N169" s="26"/>
      <c r="O169" s="17" t="str">
        <f t="shared" si="1"/>
        <v/>
      </c>
      <c r="P169" s="28"/>
      <c r="Q169" s="27"/>
    </row>
    <row r="170" ht="15.75" customHeight="1">
      <c r="A170" s="25"/>
      <c r="B170" s="25"/>
      <c r="C170" s="26"/>
      <c r="D170" s="26"/>
      <c r="E170" s="26"/>
      <c r="F170" s="26"/>
      <c r="G170" s="26"/>
      <c r="H170" s="26"/>
      <c r="I170" s="26"/>
      <c r="J170" s="26"/>
      <c r="K170" s="26"/>
      <c r="L170" s="26"/>
      <c r="M170" s="26"/>
      <c r="N170" s="26"/>
      <c r="O170" s="17" t="str">
        <f t="shared" si="1"/>
        <v/>
      </c>
      <c r="P170" s="28"/>
      <c r="Q170" s="27"/>
    </row>
    <row r="171" ht="15.75" customHeight="1">
      <c r="A171" s="25"/>
      <c r="B171" s="25"/>
      <c r="C171" s="26"/>
      <c r="D171" s="26"/>
      <c r="E171" s="26"/>
      <c r="F171" s="26"/>
      <c r="G171" s="26"/>
      <c r="H171" s="26"/>
      <c r="I171" s="26"/>
      <c r="J171" s="26"/>
      <c r="K171" s="26"/>
      <c r="L171" s="26"/>
      <c r="M171" s="26"/>
      <c r="N171" s="26"/>
      <c r="O171" s="17" t="str">
        <f t="shared" si="1"/>
        <v/>
      </c>
      <c r="P171" s="28"/>
      <c r="Q171" s="27"/>
    </row>
    <row r="172" ht="15.75" customHeight="1">
      <c r="A172" s="25"/>
      <c r="B172" s="25"/>
      <c r="C172" s="26"/>
      <c r="D172" s="26"/>
      <c r="E172" s="26"/>
      <c r="F172" s="26"/>
      <c r="G172" s="26"/>
      <c r="H172" s="26"/>
      <c r="I172" s="26"/>
      <c r="J172" s="26"/>
      <c r="K172" s="26"/>
      <c r="L172" s="26"/>
      <c r="M172" s="26"/>
      <c r="N172" s="26"/>
      <c r="O172" s="17" t="str">
        <f t="shared" si="1"/>
        <v/>
      </c>
      <c r="P172" s="28"/>
      <c r="Q172" s="27"/>
    </row>
    <row r="173" ht="15.75" customHeight="1">
      <c r="A173" s="25"/>
      <c r="B173" s="25"/>
      <c r="C173" s="26"/>
      <c r="D173" s="26"/>
      <c r="E173" s="26"/>
      <c r="F173" s="26"/>
      <c r="G173" s="26"/>
      <c r="H173" s="26"/>
      <c r="I173" s="26"/>
      <c r="J173" s="26"/>
      <c r="K173" s="26"/>
      <c r="L173" s="26"/>
      <c r="M173" s="26"/>
      <c r="N173" s="26"/>
      <c r="O173" s="17" t="str">
        <f t="shared" si="1"/>
        <v/>
      </c>
      <c r="P173" s="28"/>
      <c r="Q173" s="27"/>
    </row>
    <row r="174" ht="15.75" customHeight="1">
      <c r="A174" s="25"/>
      <c r="B174" s="25"/>
      <c r="C174" s="26"/>
      <c r="D174" s="26"/>
      <c r="E174" s="26"/>
      <c r="F174" s="26"/>
      <c r="G174" s="26"/>
      <c r="H174" s="26"/>
      <c r="I174" s="26"/>
      <c r="J174" s="26"/>
      <c r="K174" s="26"/>
      <c r="L174" s="26"/>
      <c r="M174" s="26"/>
      <c r="N174" s="26"/>
      <c r="O174" s="17" t="str">
        <f t="shared" si="1"/>
        <v/>
      </c>
      <c r="P174" s="28"/>
      <c r="Q174" s="27"/>
    </row>
    <row r="175" ht="15.75" customHeight="1">
      <c r="A175" s="25"/>
      <c r="B175" s="25"/>
      <c r="C175" s="26"/>
      <c r="D175" s="26"/>
      <c r="E175" s="26"/>
      <c r="F175" s="26"/>
      <c r="G175" s="26"/>
      <c r="H175" s="26"/>
      <c r="I175" s="26"/>
      <c r="J175" s="26"/>
      <c r="K175" s="26"/>
      <c r="L175" s="26"/>
      <c r="M175" s="26"/>
      <c r="N175" s="26"/>
      <c r="O175" s="17" t="str">
        <f t="shared" si="1"/>
        <v/>
      </c>
      <c r="P175" s="28"/>
      <c r="Q175" s="27"/>
    </row>
    <row r="176" ht="15.75" customHeight="1">
      <c r="A176" s="25"/>
      <c r="B176" s="25"/>
      <c r="C176" s="26"/>
      <c r="D176" s="26"/>
      <c r="E176" s="26"/>
      <c r="F176" s="26"/>
      <c r="G176" s="26"/>
      <c r="H176" s="26"/>
      <c r="I176" s="26"/>
      <c r="J176" s="26"/>
      <c r="K176" s="26"/>
      <c r="L176" s="26"/>
      <c r="M176" s="26"/>
      <c r="N176" s="26"/>
      <c r="O176" s="17" t="str">
        <f t="shared" si="1"/>
        <v/>
      </c>
      <c r="P176" s="28"/>
      <c r="Q176" s="27"/>
    </row>
    <row r="177" ht="15.75" customHeight="1">
      <c r="A177" s="25"/>
      <c r="B177" s="25"/>
      <c r="C177" s="26"/>
      <c r="D177" s="26"/>
      <c r="E177" s="26"/>
      <c r="F177" s="26"/>
      <c r="G177" s="26"/>
      <c r="H177" s="26"/>
      <c r="I177" s="26"/>
      <c r="J177" s="26"/>
      <c r="K177" s="26"/>
      <c r="L177" s="26"/>
      <c r="M177" s="26"/>
      <c r="N177" s="26"/>
      <c r="O177" s="17" t="str">
        <f t="shared" si="1"/>
        <v/>
      </c>
      <c r="P177" s="28"/>
      <c r="Q177" s="27"/>
    </row>
    <row r="178" ht="15.75" customHeight="1">
      <c r="A178" s="25"/>
      <c r="B178" s="25"/>
      <c r="C178" s="26"/>
      <c r="D178" s="26"/>
      <c r="E178" s="26"/>
      <c r="F178" s="26"/>
      <c r="G178" s="26"/>
      <c r="H178" s="26"/>
      <c r="I178" s="26"/>
      <c r="J178" s="26"/>
      <c r="K178" s="26"/>
      <c r="L178" s="26"/>
      <c r="M178" s="26"/>
      <c r="N178" s="26"/>
      <c r="O178" s="17" t="str">
        <f t="shared" si="1"/>
        <v/>
      </c>
      <c r="P178" s="28"/>
      <c r="Q178" s="27"/>
    </row>
    <row r="179" ht="15.75" customHeight="1">
      <c r="A179" s="25"/>
      <c r="B179" s="25"/>
      <c r="C179" s="26"/>
      <c r="D179" s="26"/>
      <c r="E179" s="26"/>
      <c r="F179" s="26"/>
      <c r="G179" s="26"/>
      <c r="H179" s="26"/>
      <c r="I179" s="26"/>
      <c r="J179" s="26"/>
      <c r="K179" s="26"/>
      <c r="L179" s="26"/>
      <c r="M179" s="26"/>
      <c r="N179" s="26"/>
      <c r="O179" s="17" t="str">
        <f t="shared" si="1"/>
        <v/>
      </c>
      <c r="P179" s="28"/>
      <c r="Q179" s="27"/>
    </row>
    <row r="180" ht="15.75" customHeight="1">
      <c r="A180" s="25"/>
      <c r="B180" s="25"/>
      <c r="C180" s="26"/>
      <c r="D180" s="26"/>
      <c r="E180" s="26"/>
      <c r="F180" s="26"/>
      <c r="G180" s="26"/>
      <c r="H180" s="26"/>
      <c r="I180" s="26"/>
      <c r="J180" s="26"/>
      <c r="K180" s="26"/>
      <c r="L180" s="26"/>
      <c r="M180" s="26"/>
      <c r="N180" s="26"/>
      <c r="O180" s="17" t="str">
        <f t="shared" si="1"/>
        <v/>
      </c>
      <c r="P180" s="28"/>
      <c r="Q180" s="27"/>
    </row>
    <row r="181" ht="15.75" customHeight="1">
      <c r="A181" s="25"/>
      <c r="B181" s="25"/>
      <c r="C181" s="26"/>
      <c r="D181" s="26"/>
      <c r="E181" s="26"/>
      <c r="F181" s="26"/>
      <c r="G181" s="26"/>
      <c r="H181" s="26"/>
      <c r="I181" s="26"/>
      <c r="J181" s="26"/>
      <c r="K181" s="26"/>
      <c r="L181" s="26"/>
      <c r="M181" s="26"/>
      <c r="N181" s="26"/>
      <c r="O181" s="17" t="str">
        <f t="shared" si="1"/>
        <v/>
      </c>
      <c r="P181" s="28"/>
      <c r="Q181" s="27"/>
    </row>
    <row r="182" ht="15.75" customHeight="1">
      <c r="A182" s="25"/>
      <c r="B182" s="25"/>
      <c r="C182" s="26"/>
      <c r="D182" s="26"/>
      <c r="E182" s="26"/>
      <c r="F182" s="26"/>
      <c r="G182" s="26"/>
      <c r="H182" s="26"/>
      <c r="I182" s="26"/>
      <c r="J182" s="26"/>
      <c r="K182" s="26"/>
      <c r="L182" s="26"/>
      <c r="M182" s="26"/>
      <c r="N182" s="26"/>
      <c r="O182" s="17" t="str">
        <f t="shared" si="1"/>
        <v/>
      </c>
      <c r="P182" s="28"/>
      <c r="Q182" s="27"/>
    </row>
    <row r="183" ht="15.75" customHeight="1">
      <c r="A183" s="25"/>
      <c r="B183" s="25"/>
      <c r="C183" s="26"/>
      <c r="D183" s="26"/>
      <c r="E183" s="26"/>
      <c r="F183" s="26"/>
      <c r="G183" s="26"/>
      <c r="H183" s="26"/>
      <c r="I183" s="26"/>
      <c r="J183" s="26"/>
      <c r="K183" s="26"/>
      <c r="L183" s="26"/>
      <c r="M183" s="26"/>
      <c r="N183" s="26"/>
      <c r="O183" s="17" t="str">
        <f t="shared" si="1"/>
        <v/>
      </c>
      <c r="P183" s="28"/>
      <c r="Q183" s="27"/>
    </row>
    <row r="184" ht="15.75" customHeight="1">
      <c r="A184" s="25"/>
      <c r="B184" s="25"/>
      <c r="C184" s="26"/>
      <c r="D184" s="26"/>
      <c r="E184" s="26"/>
      <c r="F184" s="26"/>
      <c r="G184" s="26"/>
      <c r="H184" s="26"/>
      <c r="I184" s="26"/>
      <c r="J184" s="26"/>
      <c r="K184" s="26"/>
      <c r="L184" s="26"/>
      <c r="M184" s="26"/>
      <c r="N184" s="26"/>
      <c r="O184" s="17" t="str">
        <f t="shared" si="1"/>
        <v/>
      </c>
      <c r="P184" s="28"/>
      <c r="Q184" s="27"/>
    </row>
    <row r="185" ht="15.75" customHeight="1">
      <c r="A185" s="25"/>
      <c r="B185" s="25"/>
      <c r="C185" s="26"/>
      <c r="D185" s="26"/>
      <c r="E185" s="26"/>
      <c r="F185" s="26"/>
      <c r="G185" s="26"/>
      <c r="H185" s="26"/>
      <c r="I185" s="26"/>
      <c r="J185" s="26"/>
      <c r="K185" s="26"/>
      <c r="L185" s="26"/>
      <c r="M185" s="26"/>
      <c r="N185" s="26"/>
      <c r="O185" s="17" t="str">
        <f t="shared" si="1"/>
        <v/>
      </c>
      <c r="P185" s="28"/>
      <c r="Q185" s="27"/>
    </row>
    <row r="186" ht="15.75" customHeight="1">
      <c r="A186" s="25"/>
      <c r="B186" s="25"/>
      <c r="C186" s="26"/>
      <c r="D186" s="26"/>
      <c r="E186" s="26"/>
      <c r="F186" s="26"/>
      <c r="G186" s="26"/>
      <c r="H186" s="26"/>
      <c r="I186" s="26"/>
      <c r="J186" s="26"/>
      <c r="K186" s="26"/>
      <c r="L186" s="26"/>
      <c r="M186" s="26"/>
      <c r="N186" s="26"/>
      <c r="O186" s="17" t="str">
        <f t="shared" si="1"/>
        <v/>
      </c>
      <c r="P186" s="28"/>
      <c r="Q186" s="27"/>
    </row>
    <row r="187" ht="15.75" customHeight="1">
      <c r="A187" s="25"/>
      <c r="B187" s="25"/>
      <c r="C187" s="26"/>
      <c r="D187" s="26"/>
      <c r="E187" s="26"/>
      <c r="F187" s="26"/>
      <c r="G187" s="26"/>
      <c r="H187" s="26"/>
      <c r="I187" s="26"/>
      <c r="J187" s="26"/>
      <c r="K187" s="26"/>
      <c r="L187" s="26"/>
      <c r="M187" s="26"/>
      <c r="N187" s="26"/>
      <c r="O187" s="17" t="str">
        <f t="shared" si="1"/>
        <v/>
      </c>
      <c r="P187" s="28"/>
      <c r="Q187" s="27"/>
    </row>
    <row r="188" ht="15.75" customHeight="1">
      <c r="A188" s="25"/>
      <c r="B188" s="25"/>
      <c r="C188" s="26"/>
      <c r="D188" s="26"/>
      <c r="E188" s="26"/>
      <c r="F188" s="26"/>
      <c r="G188" s="26"/>
      <c r="H188" s="26"/>
      <c r="I188" s="26"/>
      <c r="J188" s="26"/>
      <c r="K188" s="26"/>
      <c r="L188" s="26"/>
      <c r="M188" s="26"/>
      <c r="N188" s="26"/>
      <c r="O188" s="17" t="str">
        <f t="shared" si="1"/>
        <v/>
      </c>
      <c r="P188" s="28"/>
      <c r="Q188" s="27"/>
    </row>
    <row r="189" ht="15.75" customHeight="1">
      <c r="A189" s="25"/>
      <c r="B189" s="25"/>
      <c r="C189" s="26"/>
      <c r="D189" s="26"/>
      <c r="E189" s="26"/>
      <c r="F189" s="26"/>
      <c r="G189" s="26"/>
      <c r="H189" s="26"/>
      <c r="I189" s="26"/>
      <c r="J189" s="26"/>
      <c r="K189" s="26"/>
      <c r="L189" s="26"/>
      <c r="M189" s="26"/>
      <c r="N189" s="26"/>
      <c r="O189" s="17" t="str">
        <f t="shared" si="1"/>
        <v/>
      </c>
      <c r="P189" s="28"/>
      <c r="Q189" s="27"/>
    </row>
    <row r="190" ht="15.75" customHeight="1">
      <c r="A190" s="25"/>
      <c r="B190" s="25"/>
      <c r="C190" s="26"/>
      <c r="D190" s="26"/>
      <c r="E190" s="26"/>
      <c r="F190" s="26"/>
      <c r="G190" s="26"/>
      <c r="H190" s="26"/>
      <c r="I190" s="26"/>
      <c r="J190" s="26"/>
      <c r="K190" s="26"/>
      <c r="L190" s="26"/>
      <c r="M190" s="26"/>
      <c r="N190" s="26"/>
      <c r="O190" s="17" t="str">
        <f t="shared" si="1"/>
        <v/>
      </c>
      <c r="P190" s="28"/>
      <c r="Q190" s="27"/>
    </row>
    <row r="191" ht="15.75" customHeight="1">
      <c r="A191" s="25"/>
      <c r="B191" s="25"/>
      <c r="C191" s="26"/>
      <c r="D191" s="26"/>
      <c r="E191" s="26"/>
      <c r="F191" s="26"/>
      <c r="G191" s="26"/>
      <c r="H191" s="26"/>
      <c r="I191" s="26"/>
      <c r="J191" s="26"/>
      <c r="K191" s="26"/>
      <c r="L191" s="26"/>
      <c r="M191" s="26"/>
      <c r="N191" s="26"/>
      <c r="O191" s="17" t="str">
        <f t="shared" si="1"/>
        <v/>
      </c>
      <c r="P191" s="28"/>
      <c r="Q191" s="27"/>
    </row>
    <row r="192" ht="15.75" customHeight="1">
      <c r="A192" s="25"/>
      <c r="B192" s="25"/>
      <c r="C192" s="26"/>
      <c r="D192" s="26"/>
      <c r="E192" s="26"/>
      <c r="F192" s="26"/>
      <c r="G192" s="26"/>
      <c r="H192" s="26"/>
      <c r="I192" s="26"/>
      <c r="J192" s="26"/>
      <c r="K192" s="26"/>
      <c r="L192" s="26"/>
      <c r="M192" s="26"/>
      <c r="N192" s="26"/>
      <c r="O192" s="17" t="str">
        <f t="shared" si="1"/>
        <v/>
      </c>
      <c r="P192" s="28"/>
      <c r="Q192" s="27"/>
    </row>
    <row r="193" ht="15.75" customHeight="1">
      <c r="A193" s="25"/>
      <c r="B193" s="25"/>
      <c r="C193" s="26"/>
      <c r="D193" s="26"/>
      <c r="E193" s="26"/>
      <c r="F193" s="26"/>
      <c r="G193" s="26"/>
      <c r="H193" s="26"/>
      <c r="I193" s="26"/>
      <c r="J193" s="26"/>
      <c r="K193" s="26"/>
      <c r="L193" s="26"/>
      <c r="M193" s="26"/>
      <c r="N193" s="26"/>
      <c r="O193" s="17" t="str">
        <f t="shared" si="1"/>
        <v/>
      </c>
      <c r="P193" s="28"/>
      <c r="Q193" s="27"/>
    </row>
    <row r="194" ht="15.75" customHeight="1">
      <c r="A194" s="25"/>
      <c r="B194" s="25"/>
      <c r="C194" s="26"/>
      <c r="D194" s="26"/>
      <c r="E194" s="26"/>
      <c r="F194" s="26"/>
      <c r="G194" s="26"/>
      <c r="H194" s="26"/>
      <c r="I194" s="26"/>
      <c r="J194" s="26"/>
      <c r="K194" s="26"/>
      <c r="L194" s="26"/>
      <c r="M194" s="26"/>
      <c r="N194" s="26"/>
      <c r="O194" s="17" t="str">
        <f t="shared" si="1"/>
        <v/>
      </c>
      <c r="P194" s="28"/>
      <c r="Q194" s="27"/>
    </row>
    <row r="195" ht="15.75" customHeight="1">
      <c r="A195" s="25"/>
      <c r="B195" s="25"/>
      <c r="C195" s="26"/>
      <c r="D195" s="26"/>
      <c r="E195" s="26"/>
      <c r="F195" s="26"/>
      <c r="G195" s="26"/>
      <c r="H195" s="26"/>
      <c r="I195" s="26"/>
      <c r="J195" s="26"/>
      <c r="K195" s="26"/>
      <c r="L195" s="26"/>
      <c r="M195" s="26"/>
      <c r="N195" s="26"/>
      <c r="O195" s="17" t="str">
        <f t="shared" si="1"/>
        <v/>
      </c>
      <c r="P195" s="28"/>
      <c r="Q195" s="27"/>
    </row>
    <row r="196" ht="15.75" customHeight="1">
      <c r="A196" s="25"/>
      <c r="B196" s="25"/>
      <c r="C196" s="26"/>
      <c r="D196" s="26"/>
      <c r="E196" s="26"/>
      <c r="F196" s="26"/>
      <c r="G196" s="26"/>
      <c r="H196" s="26"/>
      <c r="I196" s="26"/>
      <c r="J196" s="26"/>
      <c r="K196" s="26"/>
      <c r="L196" s="26"/>
      <c r="M196" s="26"/>
      <c r="N196" s="26"/>
      <c r="O196" s="17" t="str">
        <f t="shared" si="1"/>
        <v/>
      </c>
      <c r="P196" s="28"/>
      <c r="Q196" s="27"/>
    </row>
    <row r="197" ht="15.75" customHeight="1">
      <c r="A197" s="25"/>
      <c r="B197" s="25"/>
      <c r="C197" s="26"/>
      <c r="D197" s="26"/>
      <c r="E197" s="26"/>
      <c r="F197" s="26"/>
      <c r="G197" s="26"/>
      <c r="H197" s="26"/>
      <c r="I197" s="26"/>
      <c r="J197" s="26"/>
      <c r="K197" s="26"/>
      <c r="L197" s="26"/>
      <c r="M197" s="26"/>
      <c r="N197" s="26"/>
      <c r="O197" s="17" t="str">
        <f t="shared" si="1"/>
        <v/>
      </c>
      <c r="P197" s="28"/>
      <c r="Q197" s="27"/>
    </row>
    <row r="198" ht="15.75" customHeight="1">
      <c r="A198" s="25"/>
      <c r="B198" s="25"/>
      <c r="C198" s="26"/>
      <c r="D198" s="26"/>
      <c r="E198" s="26"/>
      <c r="F198" s="26"/>
      <c r="G198" s="26"/>
      <c r="H198" s="26"/>
      <c r="I198" s="26"/>
      <c r="J198" s="26"/>
      <c r="K198" s="26"/>
      <c r="L198" s="26"/>
      <c r="M198" s="26"/>
      <c r="N198" s="26"/>
      <c r="O198" s="17" t="str">
        <f t="shared" si="1"/>
        <v/>
      </c>
      <c r="P198" s="28"/>
      <c r="Q198" s="27"/>
    </row>
    <row r="199" ht="15.75" customHeight="1">
      <c r="A199" s="25"/>
      <c r="B199" s="25"/>
      <c r="C199" s="26"/>
      <c r="D199" s="26"/>
      <c r="E199" s="26"/>
      <c r="F199" s="26"/>
      <c r="G199" s="26"/>
      <c r="H199" s="26"/>
      <c r="I199" s="26"/>
      <c r="J199" s="26"/>
      <c r="K199" s="26"/>
      <c r="L199" s="26"/>
      <c r="M199" s="26"/>
      <c r="N199" s="26"/>
      <c r="O199" s="17" t="str">
        <f t="shared" si="1"/>
        <v/>
      </c>
      <c r="P199" s="28"/>
      <c r="Q199" s="27"/>
    </row>
    <row r="200" ht="15.75" customHeight="1">
      <c r="A200" s="25"/>
      <c r="B200" s="25"/>
      <c r="C200" s="26"/>
      <c r="D200" s="26"/>
      <c r="E200" s="26"/>
      <c r="F200" s="26"/>
      <c r="G200" s="26"/>
      <c r="H200" s="26"/>
      <c r="I200" s="26"/>
      <c r="J200" s="26"/>
      <c r="K200" s="26"/>
      <c r="L200" s="26"/>
      <c r="M200" s="26"/>
      <c r="N200" s="26"/>
      <c r="O200" s="17" t="str">
        <f t="shared" si="1"/>
        <v/>
      </c>
      <c r="P200" s="28"/>
      <c r="Q200" s="27"/>
    </row>
    <row r="201" ht="15.75" customHeight="1">
      <c r="A201" s="25"/>
      <c r="B201" s="25"/>
      <c r="C201" s="26"/>
      <c r="D201" s="26"/>
      <c r="E201" s="26"/>
      <c r="F201" s="26"/>
      <c r="G201" s="26"/>
      <c r="H201" s="26"/>
      <c r="I201" s="26"/>
      <c r="J201" s="26"/>
      <c r="K201" s="26"/>
      <c r="L201" s="26"/>
      <c r="M201" s="26"/>
      <c r="N201" s="26"/>
      <c r="O201" s="17" t="str">
        <f t="shared" si="1"/>
        <v/>
      </c>
      <c r="P201" s="28"/>
      <c r="Q201" s="27"/>
    </row>
    <row r="202" ht="15.75" customHeight="1">
      <c r="A202" s="29"/>
      <c r="B202" s="29"/>
      <c r="P202" s="30"/>
    </row>
    <row r="203" ht="15.75" customHeight="1">
      <c r="A203" s="29"/>
      <c r="B203" s="29"/>
      <c r="P203" s="30"/>
    </row>
    <row r="204" ht="15.75" customHeight="1">
      <c r="A204" s="29"/>
      <c r="B204" s="29"/>
      <c r="P204" s="30"/>
    </row>
    <row r="205" ht="15.75" customHeight="1">
      <c r="A205" s="29"/>
      <c r="B205" s="29"/>
      <c r="P205" s="30"/>
    </row>
    <row r="206" ht="15.75" customHeight="1">
      <c r="A206" s="29"/>
      <c r="B206" s="29"/>
      <c r="P206" s="30"/>
    </row>
    <row r="207" ht="15.75" customHeight="1">
      <c r="A207" s="29"/>
      <c r="B207" s="29"/>
      <c r="P207" s="30"/>
    </row>
    <row r="208" ht="15.75" customHeight="1">
      <c r="A208" s="29"/>
      <c r="B208" s="29"/>
      <c r="P208" s="30"/>
    </row>
    <row r="209" ht="15.75" customHeight="1">
      <c r="A209" s="29"/>
      <c r="B209" s="29"/>
      <c r="P209" s="30"/>
    </row>
    <row r="210" ht="15.75" customHeight="1">
      <c r="A210" s="29"/>
      <c r="B210" s="29"/>
      <c r="P210" s="30"/>
    </row>
    <row r="211" ht="15.75" customHeight="1">
      <c r="A211" s="29"/>
      <c r="B211" s="29"/>
      <c r="P211" s="30"/>
    </row>
    <row r="212" ht="15.75" customHeight="1">
      <c r="A212" s="29"/>
      <c r="B212" s="29"/>
      <c r="P212" s="30"/>
    </row>
    <row r="213" ht="15.75" customHeight="1">
      <c r="A213" s="29"/>
      <c r="B213" s="29"/>
      <c r="P213" s="30"/>
    </row>
    <row r="214" ht="15.75" customHeight="1">
      <c r="A214" s="29"/>
      <c r="B214" s="29"/>
      <c r="P214" s="30"/>
    </row>
    <row r="215" ht="15.75" customHeight="1">
      <c r="A215" s="29"/>
      <c r="B215" s="29"/>
      <c r="P215" s="30"/>
    </row>
    <row r="216" ht="15.75" customHeight="1">
      <c r="A216" s="29"/>
      <c r="B216" s="29"/>
      <c r="P216" s="30"/>
    </row>
    <row r="217" ht="15.75" customHeight="1">
      <c r="A217" s="29"/>
      <c r="B217" s="29"/>
      <c r="P217" s="30"/>
    </row>
    <row r="218" ht="15.75" customHeight="1">
      <c r="A218" s="29"/>
      <c r="B218" s="29"/>
      <c r="P218" s="30"/>
    </row>
    <row r="219" ht="15.75" customHeight="1">
      <c r="A219" s="29"/>
      <c r="B219" s="29"/>
      <c r="P219" s="30"/>
    </row>
    <row r="220" ht="15.75" customHeight="1">
      <c r="A220" s="29"/>
      <c r="B220" s="29"/>
      <c r="P220" s="30"/>
    </row>
    <row r="221" ht="15.75" customHeight="1">
      <c r="A221" s="29"/>
      <c r="B221" s="29"/>
      <c r="P221" s="30"/>
    </row>
    <row r="222" ht="15.75" customHeight="1">
      <c r="A222" s="29"/>
      <c r="B222" s="29"/>
      <c r="P222" s="30"/>
    </row>
    <row r="223" ht="15.75" customHeight="1">
      <c r="A223" s="29"/>
      <c r="B223" s="29"/>
      <c r="P223" s="30"/>
    </row>
    <row r="224" ht="15.75" customHeight="1">
      <c r="A224" s="29"/>
      <c r="B224" s="29"/>
      <c r="P224" s="30"/>
    </row>
    <row r="225" ht="15.75" customHeight="1">
      <c r="A225" s="29"/>
      <c r="B225" s="29"/>
      <c r="P225" s="30"/>
    </row>
    <row r="226" ht="15.75" customHeight="1">
      <c r="A226" s="29"/>
      <c r="B226" s="29"/>
      <c r="P226" s="30"/>
    </row>
    <row r="227" ht="15.75" customHeight="1">
      <c r="A227" s="29"/>
      <c r="B227" s="29"/>
      <c r="P227" s="30"/>
    </row>
    <row r="228" ht="15.75" customHeight="1">
      <c r="A228" s="29"/>
      <c r="B228" s="29"/>
      <c r="P228" s="30"/>
    </row>
    <row r="229" ht="15.75" customHeight="1">
      <c r="A229" s="29"/>
      <c r="B229" s="29"/>
      <c r="P229" s="30"/>
    </row>
    <row r="230" ht="15.75" customHeight="1">
      <c r="A230" s="29"/>
      <c r="B230" s="29"/>
      <c r="P230" s="30"/>
    </row>
    <row r="231" ht="15.75" customHeight="1">
      <c r="A231" s="29"/>
      <c r="B231" s="29"/>
      <c r="P231" s="30"/>
    </row>
    <row r="232" ht="15.75" customHeight="1">
      <c r="A232" s="29"/>
      <c r="B232" s="29"/>
      <c r="P232" s="30"/>
    </row>
    <row r="233" ht="15.75" customHeight="1">
      <c r="A233" s="29"/>
      <c r="B233" s="29"/>
      <c r="P233" s="30"/>
    </row>
    <row r="234" ht="15.75" customHeight="1">
      <c r="A234" s="29"/>
      <c r="B234" s="29"/>
      <c r="P234" s="30"/>
    </row>
    <row r="235" ht="15.75" customHeight="1">
      <c r="A235" s="29"/>
      <c r="B235" s="29"/>
      <c r="P235" s="30"/>
    </row>
    <row r="236" ht="15.75" customHeight="1">
      <c r="A236" s="29"/>
      <c r="B236" s="29"/>
      <c r="P236" s="30"/>
    </row>
    <row r="237" ht="15.75" customHeight="1">
      <c r="A237" s="29"/>
      <c r="B237" s="29"/>
      <c r="P237" s="30"/>
    </row>
    <row r="238" ht="15.75" customHeight="1">
      <c r="A238" s="29"/>
      <c r="B238" s="29"/>
      <c r="P238" s="30"/>
    </row>
    <row r="239" ht="15.75" customHeight="1">
      <c r="A239" s="29"/>
      <c r="B239" s="29"/>
      <c r="P239" s="30"/>
    </row>
    <row r="240" ht="15.75" customHeight="1">
      <c r="A240" s="29"/>
      <c r="B240" s="29"/>
      <c r="P240" s="30"/>
    </row>
    <row r="241" ht="15.75" customHeight="1">
      <c r="A241" s="29"/>
      <c r="B241" s="29"/>
      <c r="P241" s="30"/>
    </row>
    <row r="242" ht="15.75" customHeight="1">
      <c r="A242" s="29"/>
      <c r="B242" s="29"/>
      <c r="P242" s="30"/>
    </row>
    <row r="243" ht="15.75" customHeight="1">
      <c r="A243" s="29"/>
      <c r="B243" s="29"/>
      <c r="P243" s="30"/>
    </row>
    <row r="244" ht="15.75" customHeight="1">
      <c r="A244" s="29"/>
      <c r="B244" s="29"/>
      <c r="P244" s="30"/>
    </row>
    <row r="245" ht="15.75" customHeight="1">
      <c r="A245" s="29"/>
      <c r="B245" s="29"/>
      <c r="P245" s="30"/>
    </row>
    <row r="246" ht="15.75" customHeight="1">
      <c r="A246" s="29"/>
      <c r="B246" s="29"/>
      <c r="P246" s="30"/>
    </row>
    <row r="247" ht="15.75" customHeight="1">
      <c r="A247" s="29"/>
      <c r="B247" s="29"/>
      <c r="P247" s="30"/>
    </row>
    <row r="248" ht="15.75" customHeight="1">
      <c r="A248" s="29"/>
      <c r="B248" s="29"/>
      <c r="P248" s="30"/>
    </row>
    <row r="249" ht="15.75" customHeight="1">
      <c r="A249" s="29"/>
      <c r="B249" s="29"/>
      <c r="P249" s="30"/>
    </row>
    <row r="250" ht="15.75" customHeight="1">
      <c r="A250" s="29"/>
      <c r="B250" s="29"/>
      <c r="P250" s="30"/>
    </row>
    <row r="251" ht="15.75" customHeight="1">
      <c r="A251" s="29"/>
      <c r="B251" s="29"/>
      <c r="P251" s="30"/>
    </row>
    <row r="252" ht="15.75" customHeight="1">
      <c r="A252" s="29"/>
      <c r="B252" s="29"/>
      <c r="P252" s="30"/>
    </row>
    <row r="253" ht="15.75" customHeight="1">
      <c r="A253" s="29"/>
      <c r="B253" s="29"/>
      <c r="P253" s="30"/>
    </row>
    <row r="254" ht="15.75" customHeight="1">
      <c r="A254" s="29"/>
      <c r="B254" s="29"/>
      <c r="P254" s="30"/>
    </row>
    <row r="255" ht="15.75" customHeight="1">
      <c r="A255" s="29"/>
      <c r="B255" s="29"/>
      <c r="P255" s="30"/>
    </row>
    <row r="256" ht="15.75" customHeight="1">
      <c r="A256" s="29"/>
      <c r="B256" s="29"/>
      <c r="P256" s="30"/>
    </row>
    <row r="257" ht="15.75" customHeight="1">
      <c r="A257" s="29"/>
      <c r="B257" s="29"/>
      <c r="P257" s="30"/>
    </row>
    <row r="258" ht="15.75" customHeight="1">
      <c r="A258" s="29"/>
      <c r="B258" s="29"/>
      <c r="P258" s="30"/>
    </row>
    <row r="259" ht="15.75" customHeight="1">
      <c r="A259" s="29"/>
      <c r="B259" s="29"/>
      <c r="P259" s="30"/>
    </row>
    <row r="260" ht="15.75" customHeight="1">
      <c r="A260" s="29"/>
      <c r="B260" s="29"/>
      <c r="P260" s="30"/>
    </row>
    <row r="261" ht="15.75" customHeight="1">
      <c r="A261" s="29"/>
      <c r="B261" s="29"/>
      <c r="P261" s="30"/>
    </row>
    <row r="262" ht="15.75" customHeight="1">
      <c r="A262" s="29"/>
      <c r="B262" s="29"/>
      <c r="P262" s="30"/>
    </row>
    <row r="263" ht="15.75" customHeight="1">
      <c r="A263" s="29"/>
      <c r="B263" s="29"/>
      <c r="P263" s="30"/>
    </row>
    <row r="264" ht="15.75" customHeight="1">
      <c r="A264" s="29"/>
      <c r="B264" s="29"/>
      <c r="P264" s="30"/>
    </row>
    <row r="265" ht="15.75" customHeight="1">
      <c r="A265" s="29"/>
      <c r="B265" s="29"/>
      <c r="P265" s="30"/>
    </row>
    <row r="266" ht="15.75" customHeight="1">
      <c r="A266" s="29"/>
      <c r="B266" s="29"/>
      <c r="P266" s="30"/>
    </row>
    <row r="267" ht="15.75" customHeight="1">
      <c r="A267" s="29"/>
      <c r="B267" s="29"/>
      <c r="P267" s="30"/>
    </row>
    <row r="268" ht="15.75" customHeight="1">
      <c r="A268" s="29"/>
      <c r="B268" s="29"/>
      <c r="P268" s="30"/>
    </row>
    <row r="269" ht="15.75" customHeight="1">
      <c r="A269" s="29"/>
      <c r="B269" s="29"/>
      <c r="P269" s="30"/>
    </row>
    <row r="270" ht="15.75" customHeight="1">
      <c r="A270" s="29"/>
      <c r="B270" s="29"/>
      <c r="P270" s="30"/>
    </row>
    <row r="271" ht="15.75" customHeight="1">
      <c r="A271" s="29"/>
      <c r="B271" s="29"/>
      <c r="P271" s="30"/>
    </row>
    <row r="272" ht="15.75" customHeight="1">
      <c r="A272" s="29"/>
      <c r="B272" s="29"/>
      <c r="P272" s="30"/>
    </row>
    <row r="273" ht="15.75" customHeight="1">
      <c r="A273" s="29"/>
      <c r="B273" s="29"/>
      <c r="P273" s="30"/>
    </row>
    <row r="274" ht="15.75" customHeight="1">
      <c r="A274" s="29"/>
      <c r="B274" s="29"/>
      <c r="P274" s="30"/>
    </row>
    <row r="275" ht="15.75" customHeight="1">
      <c r="A275" s="29"/>
      <c r="B275" s="29"/>
      <c r="P275" s="30"/>
    </row>
    <row r="276" ht="15.75" customHeight="1">
      <c r="A276" s="29"/>
      <c r="B276" s="29"/>
      <c r="P276" s="30"/>
    </row>
    <row r="277" ht="15.75" customHeight="1">
      <c r="A277" s="29"/>
      <c r="B277" s="29"/>
      <c r="P277" s="30"/>
    </row>
    <row r="278" ht="15.75" customHeight="1">
      <c r="A278" s="29"/>
      <c r="B278" s="29"/>
      <c r="P278" s="30"/>
    </row>
    <row r="279" ht="15.75" customHeight="1">
      <c r="A279" s="29"/>
      <c r="B279" s="29"/>
      <c r="P279" s="30"/>
    </row>
    <row r="280" ht="15.75" customHeight="1">
      <c r="A280" s="29"/>
      <c r="B280" s="29"/>
      <c r="P280" s="30"/>
    </row>
    <row r="281" ht="15.75" customHeight="1">
      <c r="A281" s="29"/>
      <c r="B281" s="29"/>
      <c r="P281" s="30"/>
    </row>
    <row r="282" ht="15.75" customHeight="1">
      <c r="A282" s="29"/>
      <c r="B282" s="29"/>
      <c r="P282" s="30"/>
    </row>
    <row r="283" ht="15.75" customHeight="1">
      <c r="A283" s="29"/>
      <c r="B283" s="29"/>
      <c r="P283" s="30"/>
    </row>
    <row r="284" ht="15.75" customHeight="1">
      <c r="A284" s="29"/>
      <c r="B284" s="29"/>
      <c r="P284" s="30"/>
    </row>
    <row r="285" ht="15.75" customHeight="1">
      <c r="A285" s="29"/>
      <c r="B285" s="29"/>
      <c r="P285" s="30"/>
    </row>
    <row r="286" ht="15.75" customHeight="1">
      <c r="A286" s="29"/>
      <c r="B286" s="29"/>
      <c r="P286" s="30"/>
    </row>
    <row r="287" ht="15.75" customHeight="1">
      <c r="A287" s="29"/>
      <c r="B287" s="29"/>
      <c r="P287" s="30"/>
    </row>
    <row r="288" ht="15.75" customHeight="1">
      <c r="A288" s="29"/>
      <c r="B288" s="29"/>
      <c r="P288" s="30"/>
    </row>
    <row r="289" ht="15.75" customHeight="1">
      <c r="A289" s="29"/>
      <c r="B289" s="29"/>
      <c r="P289" s="30"/>
    </row>
    <row r="290" ht="15.75" customHeight="1">
      <c r="A290" s="29"/>
      <c r="B290" s="29"/>
      <c r="P290" s="30"/>
    </row>
    <row r="291" ht="15.75" customHeight="1">
      <c r="A291" s="29"/>
      <c r="B291" s="29"/>
      <c r="P291" s="30"/>
    </row>
    <row r="292" ht="15.75" customHeight="1">
      <c r="A292" s="29"/>
      <c r="B292" s="29"/>
      <c r="P292" s="30"/>
    </row>
    <row r="293" ht="15.75" customHeight="1">
      <c r="A293" s="29"/>
      <c r="B293" s="29"/>
      <c r="P293" s="30"/>
    </row>
    <row r="294" ht="15.75" customHeight="1">
      <c r="A294" s="29"/>
      <c r="B294" s="29"/>
      <c r="P294" s="30"/>
    </row>
    <row r="295" ht="15.75" customHeight="1">
      <c r="A295" s="29"/>
      <c r="B295" s="29"/>
      <c r="P295" s="30"/>
    </row>
    <row r="296" ht="15.75" customHeight="1">
      <c r="A296" s="29"/>
      <c r="B296" s="29"/>
      <c r="P296" s="30"/>
    </row>
    <row r="297" ht="15.75" customHeight="1">
      <c r="A297" s="29"/>
      <c r="B297" s="29"/>
      <c r="P297" s="30"/>
    </row>
    <row r="298" ht="15.75" customHeight="1">
      <c r="A298" s="29"/>
      <c r="B298" s="29"/>
      <c r="P298" s="30"/>
    </row>
    <row r="299" ht="15.75" customHeight="1">
      <c r="A299" s="29"/>
      <c r="B299" s="29"/>
      <c r="P299" s="30"/>
    </row>
    <row r="300" ht="15.75" customHeight="1">
      <c r="A300" s="29"/>
      <c r="B300" s="29"/>
      <c r="P300" s="30"/>
    </row>
    <row r="301" ht="15.75" customHeight="1">
      <c r="A301" s="29"/>
      <c r="B301" s="29"/>
      <c r="P301" s="30"/>
    </row>
    <row r="302" ht="15.75" customHeight="1">
      <c r="A302" s="29"/>
      <c r="B302" s="29"/>
      <c r="P302" s="30"/>
    </row>
    <row r="303" ht="15.75" customHeight="1">
      <c r="A303" s="29"/>
      <c r="B303" s="29"/>
      <c r="P303" s="30"/>
    </row>
    <row r="304" ht="15.75" customHeight="1">
      <c r="A304" s="29"/>
      <c r="B304" s="29"/>
      <c r="P304" s="30"/>
    </row>
    <row r="305" ht="15.75" customHeight="1">
      <c r="A305" s="29"/>
      <c r="B305" s="29"/>
      <c r="P305" s="30"/>
    </row>
    <row r="306" ht="15.75" customHeight="1">
      <c r="A306" s="29"/>
      <c r="B306" s="29"/>
      <c r="P306" s="30"/>
    </row>
    <row r="307" ht="15.75" customHeight="1">
      <c r="A307" s="29"/>
      <c r="B307" s="29"/>
      <c r="P307" s="30"/>
    </row>
    <row r="308" ht="15.75" customHeight="1">
      <c r="A308" s="29"/>
      <c r="B308" s="29"/>
      <c r="P308" s="30"/>
    </row>
    <row r="309" ht="15.75" customHeight="1">
      <c r="A309" s="29"/>
      <c r="B309" s="29"/>
      <c r="P309" s="30"/>
    </row>
    <row r="310" ht="15.75" customHeight="1">
      <c r="A310" s="29"/>
      <c r="B310" s="29"/>
      <c r="P310" s="30"/>
    </row>
    <row r="311" ht="15.75" customHeight="1">
      <c r="A311" s="29"/>
      <c r="B311" s="29"/>
      <c r="P311" s="30"/>
    </row>
    <row r="312" ht="15.75" customHeight="1">
      <c r="A312" s="29"/>
      <c r="B312" s="29"/>
      <c r="P312" s="30"/>
    </row>
    <row r="313" ht="15.75" customHeight="1">
      <c r="A313" s="29"/>
      <c r="B313" s="29"/>
      <c r="P313" s="30"/>
    </row>
    <row r="314" ht="15.75" customHeight="1">
      <c r="A314" s="29"/>
      <c r="B314" s="29"/>
      <c r="P314" s="30"/>
    </row>
    <row r="315" ht="15.75" customHeight="1">
      <c r="A315" s="29"/>
      <c r="B315" s="29"/>
      <c r="P315" s="30"/>
    </row>
    <row r="316" ht="15.75" customHeight="1">
      <c r="A316" s="29"/>
      <c r="B316" s="29"/>
      <c r="P316" s="30"/>
    </row>
    <row r="317" ht="15.75" customHeight="1">
      <c r="A317" s="29"/>
      <c r="B317" s="29"/>
      <c r="P317" s="30"/>
    </row>
    <row r="318" ht="15.75" customHeight="1">
      <c r="A318" s="29"/>
      <c r="B318" s="29"/>
      <c r="P318" s="30"/>
    </row>
    <row r="319" ht="15.75" customHeight="1">
      <c r="A319" s="29"/>
      <c r="B319" s="29"/>
      <c r="P319" s="30"/>
    </row>
    <row r="320" ht="15.75" customHeight="1">
      <c r="A320" s="29"/>
      <c r="B320" s="29"/>
      <c r="P320" s="30"/>
    </row>
    <row r="321" ht="15.75" customHeight="1">
      <c r="A321" s="29"/>
      <c r="B321" s="29"/>
      <c r="P321" s="30"/>
    </row>
    <row r="322" ht="15.75" customHeight="1">
      <c r="A322" s="29"/>
      <c r="B322" s="29"/>
      <c r="P322" s="30"/>
    </row>
    <row r="323" ht="15.75" customHeight="1">
      <c r="A323" s="29"/>
      <c r="B323" s="29"/>
      <c r="P323" s="30"/>
    </row>
    <row r="324" ht="15.75" customHeight="1">
      <c r="A324" s="29"/>
      <c r="B324" s="29"/>
      <c r="P324" s="30"/>
    </row>
    <row r="325" ht="15.75" customHeight="1">
      <c r="A325" s="29"/>
      <c r="B325" s="29"/>
      <c r="P325" s="30"/>
    </row>
    <row r="326" ht="15.75" customHeight="1">
      <c r="A326" s="29"/>
      <c r="B326" s="29"/>
      <c r="P326" s="30"/>
    </row>
    <row r="327" ht="15.75" customHeight="1">
      <c r="A327" s="29"/>
      <c r="B327" s="29"/>
      <c r="P327" s="30"/>
    </row>
    <row r="328" ht="15.75" customHeight="1">
      <c r="A328" s="29"/>
      <c r="B328" s="29"/>
      <c r="P328" s="30"/>
    </row>
    <row r="329" ht="15.75" customHeight="1">
      <c r="A329" s="29"/>
      <c r="B329" s="29"/>
      <c r="P329" s="30"/>
    </row>
    <row r="330" ht="15.75" customHeight="1">
      <c r="A330" s="29"/>
      <c r="B330" s="29"/>
      <c r="P330" s="30"/>
    </row>
    <row r="331" ht="15.75" customHeight="1">
      <c r="A331" s="29"/>
      <c r="B331" s="29"/>
      <c r="P331" s="30"/>
    </row>
    <row r="332" ht="15.75" customHeight="1">
      <c r="A332" s="29"/>
      <c r="B332" s="29"/>
      <c r="P332" s="30"/>
    </row>
    <row r="333" ht="15.75" customHeight="1">
      <c r="A333" s="29"/>
      <c r="B333" s="29"/>
      <c r="P333" s="30"/>
    </row>
    <row r="334" ht="15.75" customHeight="1">
      <c r="A334" s="29"/>
      <c r="B334" s="29"/>
      <c r="P334" s="30"/>
    </row>
    <row r="335" ht="15.75" customHeight="1">
      <c r="A335" s="29"/>
      <c r="B335" s="29"/>
      <c r="P335" s="30"/>
    </row>
    <row r="336" ht="15.75" customHeight="1">
      <c r="A336" s="29"/>
      <c r="B336" s="29"/>
      <c r="P336" s="30"/>
    </row>
    <row r="337" ht="15.75" customHeight="1">
      <c r="A337" s="29"/>
      <c r="B337" s="29"/>
      <c r="P337" s="30"/>
    </row>
    <row r="338" ht="15.75" customHeight="1">
      <c r="A338" s="29"/>
      <c r="B338" s="29"/>
      <c r="P338" s="30"/>
    </row>
    <row r="339" ht="15.75" customHeight="1">
      <c r="A339" s="29"/>
      <c r="B339" s="29"/>
      <c r="P339" s="30"/>
    </row>
    <row r="340" ht="15.75" customHeight="1">
      <c r="A340" s="29"/>
      <c r="B340" s="29"/>
      <c r="P340" s="30"/>
    </row>
    <row r="341" ht="15.75" customHeight="1">
      <c r="A341" s="29"/>
      <c r="B341" s="29"/>
      <c r="P341" s="30"/>
    </row>
    <row r="342" ht="15.75" customHeight="1">
      <c r="A342" s="29"/>
      <c r="B342" s="29"/>
      <c r="P342" s="30"/>
    </row>
    <row r="343" ht="15.75" customHeight="1">
      <c r="A343" s="29"/>
      <c r="B343" s="29"/>
      <c r="P343" s="30"/>
    </row>
    <row r="344" ht="15.75" customHeight="1">
      <c r="A344" s="29"/>
      <c r="B344" s="29"/>
      <c r="P344" s="30"/>
    </row>
    <row r="345" ht="15.75" customHeight="1">
      <c r="A345" s="29"/>
      <c r="B345" s="29"/>
      <c r="P345" s="30"/>
    </row>
    <row r="346" ht="15.75" customHeight="1">
      <c r="A346" s="29"/>
      <c r="B346" s="29"/>
      <c r="P346" s="30"/>
    </row>
    <row r="347" ht="15.75" customHeight="1">
      <c r="A347" s="29"/>
      <c r="B347" s="29"/>
      <c r="P347" s="30"/>
    </row>
    <row r="348" ht="15.75" customHeight="1">
      <c r="A348" s="29"/>
      <c r="B348" s="29"/>
      <c r="P348" s="30"/>
    </row>
    <row r="349" ht="15.75" customHeight="1">
      <c r="A349" s="29"/>
      <c r="B349" s="29"/>
      <c r="P349" s="30"/>
    </row>
    <row r="350" ht="15.75" customHeight="1">
      <c r="A350" s="29"/>
      <c r="B350" s="29"/>
      <c r="P350" s="30"/>
    </row>
    <row r="351" ht="15.75" customHeight="1">
      <c r="A351" s="29"/>
      <c r="B351" s="29"/>
      <c r="P351" s="30"/>
    </row>
    <row r="352" ht="15.75" customHeight="1">
      <c r="A352" s="29"/>
      <c r="B352" s="29"/>
      <c r="P352" s="30"/>
    </row>
    <row r="353" ht="15.75" customHeight="1">
      <c r="A353" s="29"/>
      <c r="B353" s="29"/>
      <c r="P353" s="30"/>
    </row>
    <row r="354" ht="15.75" customHeight="1">
      <c r="A354" s="29"/>
      <c r="B354" s="29"/>
      <c r="P354" s="30"/>
    </row>
    <row r="355" ht="15.75" customHeight="1">
      <c r="A355" s="29"/>
      <c r="B355" s="29"/>
      <c r="P355" s="30"/>
    </row>
    <row r="356" ht="15.75" customHeight="1">
      <c r="A356" s="29"/>
      <c r="B356" s="29"/>
      <c r="P356" s="30"/>
    </row>
    <row r="357" ht="15.75" customHeight="1">
      <c r="A357" s="29"/>
      <c r="B357" s="29"/>
      <c r="P357" s="30"/>
    </row>
    <row r="358" ht="15.75" customHeight="1">
      <c r="A358" s="29"/>
      <c r="B358" s="29"/>
      <c r="P358" s="30"/>
    </row>
    <row r="359" ht="15.75" customHeight="1">
      <c r="A359" s="29"/>
      <c r="B359" s="29"/>
      <c r="P359" s="30"/>
    </row>
    <row r="360" ht="15.75" customHeight="1">
      <c r="A360" s="29"/>
      <c r="B360" s="29"/>
      <c r="P360" s="30"/>
    </row>
    <row r="361" ht="15.75" customHeight="1">
      <c r="A361" s="29"/>
      <c r="B361" s="29"/>
      <c r="P361" s="30"/>
    </row>
    <row r="362" ht="15.75" customHeight="1">
      <c r="A362" s="29"/>
      <c r="B362" s="29"/>
      <c r="P362" s="30"/>
    </row>
    <row r="363" ht="15.75" customHeight="1">
      <c r="A363" s="29"/>
      <c r="B363" s="29"/>
      <c r="P363" s="30"/>
    </row>
    <row r="364" ht="15.75" customHeight="1">
      <c r="A364" s="29"/>
      <c r="B364" s="29"/>
      <c r="P364" s="30"/>
    </row>
    <row r="365" ht="15.75" customHeight="1">
      <c r="A365" s="29"/>
      <c r="B365" s="29"/>
      <c r="P365" s="30"/>
    </row>
    <row r="366" ht="15.75" customHeight="1">
      <c r="A366" s="29"/>
      <c r="B366" s="29"/>
      <c r="P366" s="30"/>
    </row>
    <row r="367" ht="15.75" customHeight="1">
      <c r="A367" s="29"/>
      <c r="B367" s="29"/>
      <c r="P367" s="30"/>
    </row>
    <row r="368" ht="15.75" customHeight="1">
      <c r="A368" s="29"/>
      <c r="B368" s="29"/>
      <c r="P368" s="30"/>
    </row>
    <row r="369" ht="15.75" customHeight="1">
      <c r="A369" s="29"/>
      <c r="B369" s="29"/>
      <c r="P369" s="30"/>
    </row>
    <row r="370" ht="15.75" customHeight="1">
      <c r="A370" s="29"/>
      <c r="B370" s="29"/>
      <c r="P370" s="30"/>
    </row>
    <row r="371" ht="15.75" customHeight="1">
      <c r="A371" s="29"/>
      <c r="B371" s="29"/>
      <c r="P371" s="30"/>
    </row>
    <row r="372" ht="15.75" customHeight="1">
      <c r="A372" s="29"/>
      <c r="B372" s="29"/>
      <c r="P372" s="30"/>
    </row>
    <row r="373" ht="15.75" customHeight="1">
      <c r="A373" s="29"/>
      <c r="B373" s="29"/>
      <c r="P373" s="30"/>
    </row>
    <row r="374" ht="15.75" customHeight="1">
      <c r="A374" s="29"/>
      <c r="B374" s="29"/>
      <c r="P374" s="30"/>
    </row>
    <row r="375" ht="15.75" customHeight="1">
      <c r="A375" s="29"/>
      <c r="B375" s="29"/>
      <c r="P375" s="30"/>
    </row>
    <row r="376" ht="15.75" customHeight="1">
      <c r="A376" s="29"/>
      <c r="B376" s="29"/>
      <c r="P376" s="30"/>
    </row>
    <row r="377" ht="15.75" customHeight="1">
      <c r="A377" s="29"/>
      <c r="B377" s="29"/>
      <c r="P377" s="30"/>
    </row>
    <row r="378" ht="15.75" customHeight="1">
      <c r="A378" s="29"/>
      <c r="B378" s="29"/>
      <c r="P378" s="30"/>
    </row>
    <row r="379" ht="15.75" customHeight="1">
      <c r="A379" s="29"/>
      <c r="B379" s="29"/>
      <c r="P379" s="30"/>
    </row>
    <row r="380" ht="15.75" customHeight="1">
      <c r="A380" s="29"/>
      <c r="B380" s="29"/>
      <c r="P380" s="30"/>
    </row>
    <row r="381" ht="15.75" customHeight="1">
      <c r="A381" s="29"/>
      <c r="B381" s="29"/>
      <c r="P381" s="30"/>
    </row>
    <row r="382" ht="15.75" customHeight="1">
      <c r="A382" s="29"/>
      <c r="B382" s="29"/>
      <c r="P382" s="30"/>
    </row>
    <row r="383" ht="15.75" customHeight="1">
      <c r="A383" s="29"/>
      <c r="B383" s="29"/>
      <c r="P383" s="30"/>
    </row>
    <row r="384" ht="15.75" customHeight="1">
      <c r="A384" s="29"/>
      <c r="B384" s="29"/>
      <c r="P384" s="30"/>
    </row>
    <row r="385" ht="15.75" customHeight="1">
      <c r="A385" s="29"/>
      <c r="B385" s="29"/>
      <c r="P385" s="30"/>
    </row>
    <row r="386" ht="15.75" customHeight="1">
      <c r="A386" s="29"/>
      <c r="B386" s="29"/>
      <c r="P386" s="30"/>
    </row>
    <row r="387" ht="15.75" customHeight="1">
      <c r="A387" s="29"/>
      <c r="B387" s="29"/>
      <c r="P387" s="30"/>
    </row>
    <row r="388" ht="15.75" customHeight="1">
      <c r="A388" s="29"/>
      <c r="B388" s="29"/>
      <c r="P388" s="30"/>
    </row>
    <row r="389" ht="15.75" customHeight="1">
      <c r="A389" s="29"/>
      <c r="B389" s="29"/>
      <c r="P389" s="30"/>
    </row>
    <row r="390" ht="15.75" customHeight="1">
      <c r="A390" s="29"/>
      <c r="B390" s="29"/>
      <c r="P390" s="30"/>
    </row>
    <row r="391" ht="15.75" customHeight="1">
      <c r="A391" s="29"/>
      <c r="B391" s="29"/>
      <c r="P391" s="30"/>
    </row>
    <row r="392" ht="15.75" customHeight="1">
      <c r="A392" s="29"/>
      <c r="B392" s="29"/>
      <c r="P392" s="30"/>
    </row>
    <row r="393" ht="15.75" customHeight="1">
      <c r="A393" s="29"/>
      <c r="B393" s="29"/>
      <c r="P393" s="30"/>
    </row>
    <row r="394" ht="15.75" customHeight="1">
      <c r="A394" s="29"/>
      <c r="B394" s="29"/>
      <c r="P394" s="30"/>
    </row>
    <row r="395" ht="15.75" customHeight="1">
      <c r="A395" s="29"/>
      <c r="B395" s="29"/>
      <c r="P395" s="30"/>
    </row>
    <row r="396" ht="15.75" customHeight="1">
      <c r="A396" s="29"/>
      <c r="B396" s="29"/>
      <c r="P396" s="30"/>
    </row>
    <row r="397" ht="15.75" customHeight="1">
      <c r="A397" s="29"/>
      <c r="B397" s="29"/>
      <c r="P397" s="30"/>
    </row>
    <row r="398" ht="15.75" customHeight="1">
      <c r="A398" s="29"/>
      <c r="B398" s="29"/>
      <c r="P398" s="30"/>
    </row>
    <row r="399" ht="15.75" customHeight="1">
      <c r="A399" s="29"/>
      <c r="B399" s="29"/>
      <c r="P399" s="30"/>
    </row>
    <row r="400" ht="15.75" customHeight="1">
      <c r="A400" s="29"/>
      <c r="B400" s="29"/>
      <c r="P400" s="30"/>
    </row>
    <row r="401" ht="15.75" customHeight="1">
      <c r="A401" s="29"/>
      <c r="B401" s="29"/>
      <c r="P401" s="30"/>
    </row>
    <row r="402" ht="15.75" customHeight="1">
      <c r="A402" s="29"/>
      <c r="B402" s="29"/>
      <c r="P402" s="30"/>
    </row>
    <row r="403" ht="15.75" customHeight="1">
      <c r="A403" s="29"/>
      <c r="B403" s="29"/>
      <c r="P403" s="30"/>
    </row>
    <row r="404" ht="15.75" customHeight="1">
      <c r="A404" s="29"/>
      <c r="B404" s="29"/>
      <c r="P404" s="30"/>
    </row>
    <row r="405" ht="15.75" customHeight="1">
      <c r="A405" s="29"/>
      <c r="B405" s="29"/>
      <c r="P405" s="30"/>
    </row>
    <row r="406" ht="15.75" customHeight="1">
      <c r="A406" s="29"/>
      <c r="B406" s="29"/>
      <c r="P406" s="30"/>
    </row>
    <row r="407" ht="15.75" customHeight="1">
      <c r="A407" s="29"/>
      <c r="B407" s="29"/>
      <c r="P407" s="30"/>
    </row>
    <row r="408" ht="15.75" customHeight="1">
      <c r="A408" s="29"/>
      <c r="B408" s="29"/>
      <c r="P408" s="30"/>
    </row>
    <row r="409" ht="15.75" customHeight="1">
      <c r="A409" s="29"/>
      <c r="B409" s="29"/>
      <c r="P409" s="30"/>
    </row>
    <row r="410" ht="15.75" customHeight="1">
      <c r="A410" s="29"/>
      <c r="B410" s="29"/>
      <c r="P410" s="30"/>
    </row>
    <row r="411" ht="15.75" customHeight="1">
      <c r="A411" s="29"/>
      <c r="B411" s="29"/>
      <c r="P411" s="30"/>
    </row>
    <row r="412" ht="15.75" customHeight="1">
      <c r="A412" s="29"/>
      <c r="B412" s="29"/>
      <c r="P412" s="30"/>
    </row>
    <row r="413" ht="15.75" customHeight="1">
      <c r="A413" s="29"/>
      <c r="B413" s="29"/>
      <c r="P413" s="30"/>
    </row>
    <row r="414" ht="15.75" customHeight="1">
      <c r="A414" s="29"/>
      <c r="B414" s="29"/>
      <c r="P414" s="30"/>
    </row>
    <row r="415" ht="15.75" customHeight="1">
      <c r="A415" s="29"/>
      <c r="B415" s="29"/>
      <c r="P415" s="30"/>
    </row>
    <row r="416" ht="15.75" customHeight="1">
      <c r="A416" s="29"/>
      <c r="B416" s="29"/>
      <c r="P416" s="30"/>
    </row>
    <row r="417" ht="15.75" customHeight="1">
      <c r="A417" s="29"/>
      <c r="B417" s="29"/>
      <c r="P417" s="30"/>
    </row>
    <row r="418" ht="15.75" customHeight="1">
      <c r="A418" s="29"/>
      <c r="B418" s="29"/>
      <c r="P418" s="30"/>
    </row>
    <row r="419" ht="15.75" customHeight="1">
      <c r="A419" s="29"/>
      <c r="B419" s="29"/>
      <c r="P419" s="30"/>
    </row>
    <row r="420" ht="15.75" customHeight="1">
      <c r="A420" s="29"/>
      <c r="B420" s="29"/>
      <c r="P420" s="30"/>
    </row>
    <row r="421" ht="15.75" customHeight="1">
      <c r="A421" s="29"/>
      <c r="B421" s="29"/>
      <c r="P421" s="30"/>
    </row>
    <row r="422" ht="15.75" customHeight="1">
      <c r="A422" s="29"/>
      <c r="B422" s="29"/>
      <c r="P422" s="30"/>
    </row>
    <row r="423" ht="15.75" customHeight="1">
      <c r="A423" s="29"/>
      <c r="B423" s="29"/>
      <c r="P423" s="30"/>
    </row>
    <row r="424" ht="15.75" customHeight="1">
      <c r="A424" s="29"/>
      <c r="B424" s="29"/>
      <c r="P424" s="30"/>
    </row>
    <row r="425" ht="15.75" customHeight="1">
      <c r="A425" s="29"/>
      <c r="B425" s="29"/>
      <c r="P425" s="30"/>
    </row>
    <row r="426" ht="15.75" customHeight="1">
      <c r="A426" s="29"/>
      <c r="B426" s="29"/>
      <c r="P426" s="30"/>
    </row>
    <row r="427" ht="15.75" customHeight="1">
      <c r="A427" s="29"/>
      <c r="B427" s="29"/>
      <c r="P427" s="30"/>
    </row>
    <row r="428" ht="15.75" customHeight="1">
      <c r="A428" s="29"/>
      <c r="B428" s="29"/>
      <c r="P428" s="30"/>
    </row>
    <row r="429" ht="15.75" customHeight="1">
      <c r="A429" s="29"/>
      <c r="B429" s="29"/>
      <c r="P429" s="30"/>
    </row>
    <row r="430" ht="15.75" customHeight="1">
      <c r="A430" s="29"/>
      <c r="B430" s="29"/>
      <c r="P430" s="30"/>
    </row>
    <row r="431" ht="15.75" customHeight="1">
      <c r="A431" s="29"/>
      <c r="B431" s="29"/>
      <c r="P431" s="30"/>
    </row>
    <row r="432" ht="15.75" customHeight="1">
      <c r="A432" s="29"/>
      <c r="B432" s="29"/>
      <c r="P432" s="30"/>
    </row>
    <row r="433" ht="15.75" customHeight="1">
      <c r="A433" s="29"/>
      <c r="B433" s="29"/>
      <c r="P433" s="30"/>
    </row>
    <row r="434" ht="15.75" customHeight="1">
      <c r="A434" s="29"/>
      <c r="B434" s="29"/>
      <c r="P434" s="30"/>
    </row>
    <row r="435" ht="15.75" customHeight="1">
      <c r="A435" s="29"/>
      <c r="B435" s="29"/>
      <c r="P435" s="30"/>
    </row>
    <row r="436" ht="15.75" customHeight="1">
      <c r="A436" s="29"/>
      <c r="B436" s="29"/>
      <c r="P436" s="30"/>
    </row>
    <row r="437" ht="15.75" customHeight="1">
      <c r="A437" s="29"/>
      <c r="B437" s="29"/>
      <c r="P437" s="30"/>
    </row>
    <row r="438" ht="15.75" customHeight="1">
      <c r="A438" s="29"/>
      <c r="B438" s="29"/>
      <c r="P438" s="30"/>
    </row>
    <row r="439" ht="15.75" customHeight="1">
      <c r="A439" s="29"/>
      <c r="B439" s="29"/>
      <c r="P439" s="30"/>
    </row>
    <row r="440" ht="15.75" customHeight="1">
      <c r="A440" s="29"/>
      <c r="B440" s="29"/>
      <c r="P440" s="30"/>
    </row>
    <row r="441" ht="15.75" customHeight="1">
      <c r="A441" s="29"/>
      <c r="B441" s="29"/>
      <c r="P441" s="30"/>
    </row>
    <row r="442" ht="15.75" customHeight="1">
      <c r="A442" s="29"/>
      <c r="B442" s="29"/>
      <c r="P442" s="30"/>
    </row>
    <row r="443" ht="15.75" customHeight="1">
      <c r="A443" s="29"/>
      <c r="B443" s="29"/>
      <c r="P443" s="30"/>
    </row>
    <row r="444" ht="15.75" customHeight="1">
      <c r="A444" s="29"/>
      <c r="B444" s="29"/>
      <c r="P444" s="30"/>
    </row>
    <row r="445" ht="15.75" customHeight="1">
      <c r="A445" s="29"/>
      <c r="B445" s="29"/>
      <c r="P445" s="30"/>
    </row>
    <row r="446" ht="15.75" customHeight="1">
      <c r="A446" s="29"/>
      <c r="B446" s="29"/>
      <c r="P446" s="30"/>
    </row>
    <row r="447" ht="15.75" customHeight="1">
      <c r="A447" s="29"/>
      <c r="B447" s="29"/>
      <c r="P447" s="30"/>
    </row>
    <row r="448" ht="15.75" customHeight="1">
      <c r="A448" s="29"/>
      <c r="B448" s="29"/>
      <c r="P448" s="30"/>
    </row>
    <row r="449" ht="15.75" customHeight="1">
      <c r="A449" s="29"/>
      <c r="B449" s="29"/>
      <c r="P449" s="30"/>
    </row>
    <row r="450" ht="15.75" customHeight="1">
      <c r="A450" s="29"/>
      <c r="B450" s="29"/>
      <c r="P450" s="30"/>
    </row>
    <row r="451" ht="15.75" customHeight="1">
      <c r="A451" s="29"/>
      <c r="B451" s="29"/>
      <c r="P451" s="30"/>
    </row>
    <row r="452" ht="15.75" customHeight="1">
      <c r="A452" s="29"/>
      <c r="B452" s="29"/>
      <c r="P452" s="30"/>
    </row>
    <row r="453" ht="15.75" customHeight="1">
      <c r="A453" s="29"/>
      <c r="B453" s="29"/>
      <c r="P453" s="30"/>
    </row>
    <row r="454" ht="15.75" customHeight="1">
      <c r="A454" s="29"/>
      <c r="B454" s="29"/>
      <c r="P454" s="30"/>
    </row>
    <row r="455" ht="15.75" customHeight="1">
      <c r="A455" s="29"/>
      <c r="B455" s="29"/>
      <c r="P455" s="30"/>
    </row>
    <row r="456" ht="15.75" customHeight="1">
      <c r="A456" s="29"/>
      <c r="B456" s="29"/>
      <c r="P456" s="30"/>
    </row>
    <row r="457" ht="15.75" customHeight="1">
      <c r="A457" s="29"/>
      <c r="B457" s="29"/>
      <c r="P457" s="30"/>
    </row>
    <row r="458" ht="15.75" customHeight="1">
      <c r="A458" s="29"/>
      <c r="B458" s="29"/>
      <c r="P458" s="30"/>
    </row>
    <row r="459" ht="15.75" customHeight="1">
      <c r="A459" s="29"/>
      <c r="B459" s="29"/>
      <c r="P459" s="30"/>
    </row>
    <row r="460" ht="15.75" customHeight="1">
      <c r="A460" s="29"/>
      <c r="B460" s="29"/>
      <c r="P460" s="30"/>
    </row>
    <row r="461" ht="15.75" customHeight="1">
      <c r="A461" s="29"/>
      <c r="B461" s="29"/>
      <c r="P461" s="30"/>
    </row>
    <row r="462" ht="15.75" customHeight="1">
      <c r="A462" s="29"/>
      <c r="B462" s="29"/>
      <c r="P462" s="30"/>
    </row>
    <row r="463" ht="15.75" customHeight="1">
      <c r="A463" s="29"/>
      <c r="B463" s="29"/>
      <c r="P463" s="30"/>
    </row>
    <row r="464" ht="15.75" customHeight="1">
      <c r="A464" s="29"/>
      <c r="B464" s="29"/>
      <c r="P464" s="30"/>
    </row>
    <row r="465" ht="15.75" customHeight="1">
      <c r="A465" s="29"/>
      <c r="B465" s="29"/>
      <c r="P465" s="30"/>
    </row>
    <row r="466" ht="15.75" customHeight="1">
      <c r="A466" s="29"/>
      <c r="B466" s="29"/>
      <c r="P466" s="30"/>
    </row>
    <row r="467" ht="15.75" customHeight="1">
      <c r="A467" s="29"/>
      <c r="B467" s="29"/>
      <c r="P467" s="30"/>
    </row>
    <row r="468" ht="15.75" customHeight="1">
      <c r="A468" s="29"/>
      <c r="B468" s="29"/>
      <c r="P468" s="30"/>
    </row>
    <row r="469" ht="15.75" customHeight="1">
      <c r="A469" s="29"/>
      <c r="B469" s="29"/>
      <c r="P469" s="30"/>
    </row>
    <row r="470" ht="15.75" customHeight="1">
      <c r="A470" s="29"/>
      <c r="B470" s="29"/>
      <c r="P470" s="30"/>
    </row>
    <row r="471" ht="15.75" customHeight="1">
      <c r="A471" s="29"/>
      <c r="B471" s="29"/>
      <c r="P471" s="30"/>
    </row>
    <row r="472" ht="15.75" customHeight="1">
      <c r="A472" s="29"/>
      <c r="B472" s="29"/>
      <c r="P472" s="30"/>
    </row>
    <row r="473" ht="15.75" customHeight="1">
      <c r="A473" s="29"/>
      <c r="B473" s="29"/>
      <c r="P473" s="30"/>
    </row>
    <row r="474" ht="15.75" customHeight="1">
      <c r="A474" s="29"/>
      <c r="B474" s="29"/>
      <c r="P474" s="30"/>
    </row>
    <row r="475" ht="15.75" customHeight="1">
      <c r="A475" s="29"/>
      <c r="B475" s="29"/>
      <c r="P475" s="30"/>
    </row>
    <row r="476" ht="15.75" customHeight="1">
      <c r="A476" s="29"/>
      <c r="B476" s="29"/>
      <c r="P476" s="30"/>
    </row>
    <row r="477" ht="15.75" customHeight="1">
      <c r="A477" s="29"/>
      <c r="B477" s="29"/>
      <c r="P477" s="30"/>
    </row>
    <row r="478" ht="15.75" customHeight="1">
      <c r="A478" s="29"/>
      <c r="B478" s="29"/>
      <c r="P478" s="30"/>
    </row>
    <row r="479" ht="15.75" customHeight="1">
      <c r="A479" s="29"/>
      <c r="B479" s="29"/>
      <c r="P479" s="30"/>
    </row>
    <row r="480" ht="15.75" customHeight="1">
      <c r="A480" s="29"/>
      <c r="B480" s="29"/>
      <c r="P480" s="30"/>
    </row>
    <row r="481" ht="15.75" customHeight="1">
      <c r="A481" s="29"/>
      <c r="B481" s="29"/>
      <c r="P481" s="30"/>
    </row>
    <row r="482" ht="15.75" customHeight="1">
      <c r="A482" s="29"/>
      <c r="B482" s="29"/>
      <c r="P482" s="30"/>
    </row>
    <row r="483" ht="15.75" customHeight="1">
      <c r="A483" s="29"/>
      <c r="B483" s="29"/>
      <c r="P483" s="30"/>
    </row>
    <row r="484" ht="15.75" customHeight="1">
      <c r="A484" s="29"/>
      <c r="B484" s="29"/>
      <c r="P484" s="30"/>
    </row>
    <row r="485" ht="15.75" customHeight="1">
      <c r="A485" s="29"/>
      <c r="B485" s="29"/>
      <c r="P485" s="30"/>
    </row>
    <row r="486" ht="15.75" customHeight="1">
      <c r="A486" s="29"/>
      <c r="B486" s="29"/>
      <c r="P486" s="30"/>
    </row>
    <row r="487" ht="15.75" customHeight="1">
      <c r="A487" s="29"/>
      <c r="B487" s="29"/>
      <c r="P487" s="30"/>
    </row>
    <row r="488" ht="15.75" customHeight="1">
      <c r="A488" s="29"/>
      <c r="B488" s="29"/>
      <c r="P488" s="30"/>
    </row>
    <row r="489" ht="15.75" customHeight="1">
      <c r="A489" s="29"/>
      <c r="B489" s="29"/>
      <c r="P489" s="30"/>
    </row>
    <row r="490" ht="15.75" customHeight="1">
      <c r="A490" s="29"/>
      <c r="B490" s="29"/>
      <c r="P490" s="30"/>
    </row>
    <row r="491" ht="15.75" customHeight="1">
      <c r="A491" s="29"/>
      <c r="B491" s="29"/>
      <c r="P491" s="30"/>
    </row>
    <row r="492" ht="15.75" customHeight="1">
      <c r="A492" s="29"/>
      <c r="B492" s="29"/>
      <c r="P492" s="30"/>
    </row>
    <row r="493" ht="15.75" customHeight="1">
      <c r="A493" s="29"/>
      <c r="B493" s="29"/>
      <c r="P493" s="30"/>
    </row>
    <row r="494" ht="15.75" customHeight="1">
      <c r="A494" s="29"/>
      <c r="B494" s="29"/>
      <c r="P494" s="30"/>
    </row>
    <row r="495" ht="15.75" customHeight="1">
      <c r="A495" s="29"/>
      <c r="B495" s="29"/>
      <c r="P495" s="30"/>
    </row>
    <row r="496" ht="15.75" customHeight="1">
      <c r="A496" s="29"/>
      <c r="B496" s="29"/>
      <c r="P496" s="30"/>
    </row>
    <row r="497" ht="15.75" customHeight="1">
      <c r="A497" s="29"/>
      <c r="B497" s="29"/>
      <c r="P497" s="30"/>
    </row>
    <row r="498" ht="15.75" customHeight="1">
      <c r="A498" s="29"/>
      <c r="B498" s="29"/>
      <c r="P498" s="30"/>
    </row>
    <row r="499" ht="15.75" customHeight="1">
      <c r="A499" s="29"/>
      <c r="B499" s="29"/>
      <c r="P499" s="30"/>
    </row>
    <row r="500" ht="15.75" customHeight="1">
      <c r="A500" s="29"/>
      <c r="B500" s="29"/>
      <c r="P500" s="30"/>
    </row>
    <row r="501" ht="15.75" customHeight="1">
      <c r="A501" s="29"/>
      <c r="B501" s="29"/>
      <c r="P501" s="30"/>
    </row>
    <row r="502" ht="15.75" customHeight="1">
      <c r="A502" s="29"/>
      <c r="B502" s="29"/>
      <c r="P502" s="30"/>
    </row>
    <row r="503" ht="15.75" customHeight="1">
      <c r="A503" s="29"/>
      <c r="B503" s="29"/>
      <c r="P503" s="30"/>
    </row>
    <row r="504" ht="15.75" customHeight="1">
      <c r="A504" s="29"/>
      <c r="B504" s="29"/>
      <c r="P504" s="30"/>
    </row>
    <row r="505" ht="15.75" customHeight="1">
      <c r="A505" s="29"/>
      <c r="B505" s="29"/>
      <c r="P505" s="30"/>
    </row>
    <row r="506" ht="15.75" customHeight="1">
      <c r="A506" s="29"/>
      <c r="B506" s="29"/>
      <c r="P506" s="30"/>
    </row>
    <row r="507" ht="15.75" customHeight="1">
      <c r="A507" s="29"/>
      <c r="B507" s="29"/>
      <c r="P507" s="30"/>
    </row>
    <row r="508" ht="15.75" customHeight="1">
      <c r="A508" s="29"/>
      <c r="B508" s="29"/>
      <c r="P508" s="30"/>
    </row>
    <row r="509" ht="15.75" customHeight="1">
      <c r="A509" s="29"/>
      <c r="B509" s="29"/>
      <c r="P509" s="30"/>
    </row>
    <row r="510" ht="15.75" customHeight="1">
      <c r="A510" s="29"/>
      <c r="B510" s="29"/>
      <c r="P510" s="30"/>
    </row>
    <row r="511" ht="15.75" customHeight="1">
      <c r="A511" s="29"/>
      <c r="B511" s="29"/>
      <c r="P511" s="30"/>
    </row>
    <row r="512" ht="15.75" customHeight="1">
      <c r="A512" s="29"/>
      <c r="B512" s="29"/>
      <c r="P512" s="30"/>
    </row>
    <row r="513" ht="15.75" customHeight="1">
      <c r="A513" s="29"/>
      <c r="B513" s="29"/>
      <c r="P513" s="30"/>
    </row>
    <row r="514" ht="15.75" customHeight="1">
      <c r="A514" s="29"/>
      <c r="B514" s="29"/>
      <c r="P514" s="30"/>
    </row>
    <row r="515" ht="15.75" customHeight="1">
      <c r="A515" s="29"/>
      <c r="B515" s="29"/>
      <c r="P515" s="30"/>
    </row>
    <row r="516" ht="15.75" customHeight="1">
      <c r="A516" s="29"/>
      <c r="B516" s="29"/>
      <c r="P516" s="30"/>
    </row>
    <row r="517" ht="15.75" customHeight="1">
      <c r="A517" s="29"/>
      <c r="B517" s="29"/>
      <c r="P517" s="30"/>
    </row>
    <row r="518" ht="15.75" customHeight="1">
      <c r="A518" s="29"/>
      <c r="B518" s="29"/>
      <c r="P518" s="30"/>
    </row>
    <row r="519" ht="15.75" customHeight="1">
      <c r="A519" s="29"/>
      <c r="B519" s="29"/>
      <c r="P519" s="30"/>
    </row>
    <row r="520" ht="15.75" customHeight="1">
      <c r="A520" s="29"/>
      <c r="B520" s="29"/>
      <c r="P520" s="30"/>
    </row>
    <row r="521" ht="15.75" customHeight="1">
      <c r="A521" s="29"/>
      <c r="B521" s="29"/>
      <c r="P521" s="30"/>
    </row>
    <row r="522" ht="15.75" customHeight="1">
      <c r="A522" s="29"/>
      <c r="B522" s="29"/>
      <c r="P522" s="30"/>
    </row>
    <row r="523" ht="15.75" customHeight="1">
      <c r="A523" s="29"/>
      <c r="B523" s="29"/>
      <c r="P523" s="30"/>
    </row>
    <row r="524" ht="15.75" customHeight="1">
      <c r="A524" s="29"/>
      <c r="B524" s="29"/>
      <c r="P524" s="30"/>
    </row>
    <row r="525" ht="15.75" customHeight="1">
      <c r="A525" s="29"/>
      <c r="B525" s="29"/>
      <c r="P525" s="30"/>
    </row>
    <row r="526" ht="15.75" customHeight="1">
      <c r="A526" s="29"/>
      <c r="B526" s="29"/>
      <c r="P526" s="30"/>
    </row>
    <row r="527" ht="15.75" customHeight="1">
      <c r="A527" s="29"/>
      <c r="B527" s="29"/>
      <c r="P527" s="30"/>
    </row>
    <row r="528" ht="15.75" customHeight="1">
      <c r="A528" s="29"/>
      <c r="B528" s="29"/>
      <c r="P528" s="30"/>
    </row>
    <row r="529" ht="15.75" customHeight="1">
      <c r="A529" s="29"/>
      <c r="B529" s="29"/>
      <c r="P529" s="30"/>
    </row>
    <row r="530" ht="15.75" customHeight="1">
      <c r="A530" s="29"/>
      <c r="B530" s="29"/>
      <c r="P530" s="30"/>
    </row>
    <row r="531" ht="15.75" customHeight="1">
      <c r="A531" s="29"/>
      <c r="B531" s="29"/>
      <c r="P531" s="30"/>
    </row>
    <row r="532" ht="15.75" customHeight="1">
      <c r="A532" s="29"/>
      <c r="B532" s="29"/>
      <c r="P532" s="30"/>
    </row>
    <row r="533" ht="15.75" customHeight="1">
      <c r="A533" s="29"/>
      <c r="B533" s="29"/>
      <c r="P533" s="30"/>
    </row>
    <row r="534" ht="15.75" customHeight="1">
      <c r="A534" s="29"/>
      <c r="B534" s="29"/>
      <c r="P534" s="30"/>
    </row>
    <row r="535" ht="15.75" customHeight="1">
      <c r="A535" s="29"/>
      <c r="B535" s="29"/>
      <c r="P535" s="30"/>
    </row>
    <row r="536" ht="15.75" customHeight="1">
      <c r="A536" s="29"/>
      <c r="B536" s="29"/>
      <c r="P536" s="30"/>
    </row>
    <row r="537" ht="15.75" customHeight="1">
      <c r="A537" s="29"/>
      <c r="B537" s="29"/>
      <c r="P537" s="30"/>
    </row>
    <row r="538" ht="15.75" customHeight="1">
      <c r="A538" s="29"/>
      <c r="B538" s="29"/>
      <c r="P538" s="30"/>
    </row>
    <row r="539" ht="15.75" customHeight="1">
      <c r="A539" s="29"/>
      <c r="B539" s="29"/>
      <c r="P539" s="30"/>
    </row>
    <row r="540" ht="15.75" customHeight="1">
      <c r="A540" s="29"/>
      <c r="B540" s="29"/>
      <c r="P540" s="30"/>
    </row>
    <row r="541" ht="15.75" customHeight="1">
      <c r="A541" s="29"/>
      <c r="B541" s="29"/>
      <c r="P541" s="30"/>
    </row>
    <row r="542" ht="15.75" customHeight="1">
      <c r="A542" s="29"/>
      <c r="B542" s="29"/>
      <c r="P542" s="30"/>
    </row>
    <row r="543" ht="15.75" customHeight="1">
      <c r="A543" s="29"/>
      <c r="B543" s="29"/>
      <c r="P543" s="30"/>
    </row>
    <row r="544" ht="15.75" customHeight="1">
      <c r="A544" s="29"/>
      <c r="B544" s="29"/>
      <c r="P544" s="30"/>
    </row>
    <row r="545" ht="15.75" customHeight="1">
      <c r="A545" s="29"/>
      <c r="B545" s="29"/>
      <c r="P545" s="30"/>
    </row>
    <row r="546" ht="15.75" customHeight="1">
      <c r="A546" s="29"/>
      <c r="B546" s="29"/>
      <c r="P546" s="30"/>
    </row>
    <row r="547" ht="15.75" customHeight="1">
      <c r="A547" s="29"/>
      <c r="B547" s="29"/>
      <c r="P547" s="30"/>
    </row>
    <row r="548" ht="15.75" customHeight="1">
      <c r="A548" s="29"/>
      <c r="B548" s="29"/>
      <c r="P548" s="30"/>
    </row>
    <row r="549" ht="15.75" customHeight="1">
      <c r="A549" s="29"/>
      <c r="B549" s="29"/>
      <c r="P549" s="30"/>
    </row>
    <row r="550" ht="15.75" customHeight="1">
      <c r="A550" s="29"/>
      <c r="B550" s="29"/>
      <c r="P550" s="30"/>
    </row>
    <row r="551" ht="15.75" customHeight="1">
      <c r="A551" s="29"/>
      <c r="B551" s="29"/>
      <c r="P551" s="30"/>
    </row>
    <row r="552" ht="15.75" customHeight="1">
      <c r="A552" s="29"/>
      <c r="B552" s="29"/>
      <c r="P552" s="30"/>
    </row>
    <row r="553" ht="15.75" customHeight="1">
      <c r="A553" s="29"/>
      <c r="B553" s="29"/>
      <c r="P553" s="30"/>
    </row>
    <row r="554" ht="15.75" customHeight="1">
      <c r="A554" s="29"/>
      <c r="B554" s="29"/>
      <c r="P554" s="30"/>
    </row>
    <row r="555" ht="15.75" customHeight="1">
      <c r="A555" s="29"/>
      <c r="B555" s="29"/>
      <c r="P555" s="30"/>
    </row>
    <row r="556" ht="15.75" customHeight="1">
      <c r="A556" s="29"/>
      <c r="B556" s="29"/>
      <c r="P556" s="30"/>
    </row>
    <row r="557" ht="15.75" customHeight="1">
      <c r="A557" s="29"/>
      <c r="B557" s="29"/>
      <c r="P557" s="30"/>
    </row>
    <row r="558" ht="15.75" customHeight="1">
      <c r="A558" s="29"/>
      <c r="B558" s="29"/>
      <c r="P558" s="30"/>
    </row>
    <row r="559" ht="15.75" customHeight="1">
      <c r="A559" s="29"/>
      <c r="B559" s="29"/>
      <c r="P559" s="30"/>
    </row>
    <row r="560" ht="15.75" customHeight="1">
      <c r="A560" s="29"/>
      <c r="B560" s="29"/>
      <c r="P560" s="30"/>
    </row>
    <row r="561" ht="15.75" customHeight="1">
      <c r="A561" s="29"/>
      <c r="B561" s="29"/>
      <c r="P561" s="30"/>
    </row>
    <row r="562" ht="15.75" customHeight="1">
      <c r="A562" s="29"/>
      <c r="B562" s="29"/>
      <c r="P562" s="30"/>
    </row>
    <row r="563" ht="15.75" customHeight="1">
      <c r="A563" s="29"/>
      <c r="B563" s="29"/>
      <c r="P563" s="30"/>
    </row>
    <row r="564" ht="15.75" customHeight="1">
      <c r="A564" s="29"/>
      <c r="B564" s="29"/>
      <c r="P564" s="30"/>
    </row>
    <row r="565" ht="15.75" customHeight="1">
      <c r="A565" s="29"/>
      <c r="B565" s="29"/>
      <c r="P565" s="30"/>
    </row>
    <row r="566" ht="15.75" customHeight="1">
      <c r="A566" s="29"/>
      <c r="B566" s="29"/>
      <c r="P566" s="30"/>
    </row>
    <row r="567" ht="15.75" customHeight="1">
      <c r="A567" s="29"/>
      <c r="B567" s="29"/>
      <c r="P567" s="30"/>
    </row>
    <row r="568" ht="15.75" customHeight="1">
      <c r="A568" s="29"/>
      <c r="B568" s="29"/>
      <c r="P568" s="30"/>
    </row>
    <row r="569" ht="15.75" customHeight="1">
      <c r="A569" s="29"/>
      <c r="B569" s="29"/>
      <c r="P569" s="30"/>
    </row>
    <row r="570" ht="15.75" customHeight="1">
      <c r="A570" s="29"/>
      <c r="B570" s="29"/>
      <c r="P570" s="30"/>
    </row>
    <row r="571" ht="15.75" customHeight="1">
      <c r="A571" s="29"/>
      <c r="B571" s="29"/>
      <c r="P571" s="30"/>
    </row>
    <row r="572" ht="15.75" customHeight="1">
      <c r="A572" s="29"/>
      <c r="B572" s="29"/>
      <c r="P572" s="30"/>
    </row>
    <row r="573" ht="15.75" customHeight="1">
      <c r="A573" s="29"/>
      <c r="B573" s="29"/>
      <c r="P573" s="30"/>
    </row>
    <row r="574" ht="15.75" customHeight="1">
      <c r="A574" s="29"/>
      <c r="B574" s="29"/>
      <c r="P574" s="30"/>
    </row>
    <row r="575" ht="15.75" customHeight="1">
      <c r="A575" s="29"/>
      <c r="B575" s="29"/>
      <c r="P575" s="30"/>
    </row>
    <row r="576" ht="15.75" customHeight="1">
      <c r="A576" s="29"/>
      <c r="B576" s="29"/>
      <c r="P576" s="30"/>
    </row>
    <row r="577" ht="15.75" customHeight="1">
      <c r="A577" s="29"/>
      <c r="B577" s="29"/>
      <c r="P577" s="30"/>
    </row>
    <row r="578" ht="15.75" customHeight="1">
      <c r="A578" s="29"/>
      <c r="B578" s="29"/>
      <c r="P578" s="30"/>
    </row>
    <row r="579" ht="15.75" customHeight="1">
      <c r="A579" s="29"/>
      <c r="B579" s="29"/>
      <c r="P579" s="30"/>
    </row>
    <row r="580" ht="15.75" customHeight="1">
      <c r="A580" s="29"/>
      <c r="B580" s="29"/>
      <c r="P580" s="30"/>
    </row>
    <row r="581" ht="15.75" customHeight="1">
      <c r="A581" s="29"/>
      <c r="B581" s="29"/>
      <c r="P581" s="30"/>
    </row>
    <row r="582" ht="15.75" customHeight="1">
      <c r="A582" s="29"/>
      <c r="B582" s="29"/>
      <c r="P582" s="30"/>
    </row>
    <row r="583" ht="15.75" customHeight="1">
      <c r="A583" s="29"/>
      <c r="B583" s="29"/>
      <c r="P583" s="30"/>
    </row>
    <row r="584" ht="15.75" customHeight="1">
      <c r="A584" s="29"/>
      <c r="B584" s="29"/>
      <c r="P584" s="30"/>
    </row>
    <row r="585" ht="15.75" customHeight="1">
      <c r="A585" s="29"/>
      <c r="B585" s="29"/>
      <c r="P585" s="30"/>
    </row>
    <row r="586" ht="15.75" customHeight="1">
      <c r="A586" s="29"/>
      <c r="B586" s="29"/>
      <c r="P586" s="30"/>
    </row>
    <row r="587" ht="15.75" customHeight="1">
      <c r="A587" s="29"/>
      <c r="B587" s="29"/>
      <c r="P587" s="30"/>
    </row>
    <row r="588" ht="15.75" customHeight="1">
      <c r="A588" s="29"/>
      <c r="B588" s="29"/>
      <c r="P588" s="30"/>
    </row>
    <row r="589" ht="15.75" customHeight="1">
      <c r="A589" s="29"/>
      <c r="B589" s="29"/>
      <c r="P589" s="30"/>
    </row>
    <row r="590" ht="15.75" customHeight="1">
      <c r="A590" s="29"/>
      <c r="B590" s="29"/>
      <c r="P590" s="30"/>
    </row>
    <row r="591" ht="15.75" customHeight="1">
      <c r="A591" s="29"/>
      <c r="B591" s="29"/>
      <c r="P591" s="30"/>
    </row>
    <row r="592" ht="15.75" customHeight="1">
      <c r="A592" s="29"/>
      <c r="B592" s="29"/>
      <c r="P592" s="30"/>
    </row>
    <row r="593" ht="15.75" customHeight="1">
      <c r="A593" s="29"/>
      <c r="B593" s="29"/>
      <c r="P593" s="30"/>
    </row>
    <row r="594" ht="15.75" customHeight="1">
      <c r="A594" s="29"/>
      <c r="B594" s="29"/>
      <c r="P594" s="30"/>
    </row>
    <row r="595" ht="15.75" customHeight="1">
      <c r="A595" s="29"/>
      <c r="B595" s="29"/>
      <c r="P595" s="30"/>
    </row>
    <row r="596" ht="15.75" customHeight="1">
      <c r="A596" s="29"/>
      <c r="B596" s="29"/>
      <c r="P596" s="30"/>
    </row>
    <row r="597" ht="15.75" customHeight="1">
      <c r="A597" s="29"/>
      <c r="B597" s="29"/>
      <c r="P597" s="30"/>
    </row>
    <row r="598" ht="15.75" customHeight="1">
      <c r="A598" s="29"/>
      <c r="B598" s="29"/>
      <c r="P598" s="30"/>
    </row>
    <row r="599" ht="15.75" customHeight="1">
      <c r="A599" s="29"/>
      <c r="B599" s="29"/>
      <c r="P599" s="30"/>
    </row>
    <row r="600" ht="15.75" customHeight="1">
      <c r="A600" s="29"/>
      <c r="B600" s="29"/>
      <c r="P600" s="30"/>
    </row>
    <row r="601" ht="15.75" customHeight="1">
      <c r="A601" s="29"/>
      <c r="B601" s="29"/>
      <c r="P601" s="30"/>
    </row>
    <row r="602" ht="15.75" customHeight="1">
      <c r="A602" s="29"/>
      <c r="B602" s="29"/>
      <c r="P602" s="30"/>
    </row>
    <row r="603" ht="15.75" customHeight="1">
      <c r="A603" s="29"/>
      <c r="B603" s="29"/>
      <c r="P603" s="30"/>
    </row>
    <row r="604" ht="15.75" customHeight="1">
      <c r="A604" s="29"/>
      <c r="B604" s="29"/>
      <c r="P604" s="30"/>
    </row>
    <row r="605" ht="15.75" customHeight="1">
      <c r="A605" s="29"/>
      <c r="B605" s="29"/>
      <c r="P605" s="30"/>
    </row>
    <row r="606" ht="15.75" customHeight="1">
      <c r="A606" s="29"/>
      <c r="B606" s="29"/>
      <c r="P606" s="30"/>
    </row>
    <row r="607" ht="15.75" customHeight="1">
      <c r="A607" s="29"/>
      <c r="B607" s="29"/>
      <c r="P607" s="30"/>
    </row>
    <row r="608" ht="15.75" customHeight="1">
      <c r="A608" s="29"/>
      <c r="B608" s="29"/>
      <c r="P608" s="30"/>
    </row>
    <row r="609" ht="15.75" customHeight="1">
      <c r="A609" s="29"/>
      <c r="B609" s="29"/>
      <c r="P609" s="30"/>
    </row>
    <row r="610" ht="15.75" customHeight="1">
      <c r="A610" s="29"/>
      <c r="B610" s="29"/>
      <c r="P610" s="30"/>
    </row>
    <row r="611" ht="15.75" customHeight="1">
      <c r="A611" s="29"/>
      <c r="B611" s="29"/>
      <c r="P611" s="30"/>
    </row>
    <row r="612" ht="15.75" customHeight="1">
      <c r="A612" s="29"/>
      <c r="B612" s="29"/>
      <c r="P612" s="30"/>
    </row>
    <row r="613" ht="15.75" customHeight="1">
      <c r="A613" s="29"/>
      <c r="B613" s="29"/>
      <c r="P613" s="30"/>
    </row>
    <row r="614" ht="15.75" customHeight="1">
      <c r="A614" s="29"/>
      <c r="B614" s="29"/>
      <c r="P614" s="30"/>
    </row>
    <row r="615" ht="15.75" customHeight="1">
      <c r="A615" s="29"/>
      <c r="B615" s="29"/>
      <c r="P615" s="30"/>
    </row>
    <row r="616" ht="15.75" customHeight="1">
      <c r="A616" s="29"/>
      <c r="B616" s="29"/>
      <c r="P616" s="30"/>
    </row>
    <row r="617" ht="15.75" customHeight="1">
      <c r="A617" s="29"/>
      <c r="B617" s="29"/>
      <c r="P617" s="30"/>
    </row>
    <row r="618" ht="15.75" customHeight="1">
      <c r="A618" s="29"/>
      <c r="B618" s="29"/>
      <c r="P618" s="30"/>
    </row>
    <row r="619" ht="15.75" customHeight="1">
      <c r="A619" s="29"/>
      <c r="B619" s="29"/>
      <c r="P619" s="30"/>
    </row>
    <row r="620" ht="15.75" customHeight="1">
      <c r="A620" s="29"/>
      <c r="B620" s="29"/>
      <c r="P620" s="30"/>
    </row>
    <row r="621" ht="15.75" customHeight="1">
      <c r="A621" s="29"/>
      <c r="B621" s="29"/>
      <c r="P621" s="30"/>
    </row>
    <row r="622" ht="15.75" customHeight="1">
      <c r="A622" s="29"/>
      <c r="B622" s="29"/>
      <c r="P622" s="30"/>
    </row>
    <row r="623" ht="15.75" customHeight="1">
      <c r="A623" s="29"/>
      <c r="B623" s="29"/>
      <c r="P623" s="30"/>
    </row>
    <row r="624" ht="15.75" customHeight="1">
      <c r="A624" s="29"/>
      <c r="B624" s="29"/>
      <c r="P624" s="30"/>
    </row>
    <row r="625" ht="15.75" customHeight="1">
      <c r="A625" s="29"/>
      <c r="B625" s="29"/>
      <c r="P625" s="30"/>
    </row>
    <row r="626" ht="15.75" customHeight="1">
      <c r="A626" s="29"/>
      <c r="B626" s="29"/>
      <c r="P626" s="30"/>
    </row>
    <row r="627" ht="15.75" customHeight="1">
      <c r="A627" s="29"/>
      <c r="B627" s="29"/>
      <c r="P627" s="30"/>
    </row>
    <row r="628" ht="15.75" customHeight="1">
      <c r="A628" s="29"/>
      <c r="B628" s="29"/>
      <c r="P628" s="30"/>
    </row>
    <row r="629" ht="15.75" customHeight="1">
      <c r="A629" s="29"/>
      <c r="B629" s="29"/>
      <c r="P629" s="30"/>
    </row>
    <row r="630" ht="15.75" customHeight="1">
      <c r="A630" s="29"/>
      <c r="B630" s="29"/>
      <c r="P630" s="30"/>
    </row>
    <row r="631" ht="15.75" customHeight="1">
      <c r="A631" s="29"/>
      <c r="B631" s="29"/>
      <c r="P631" s="30"/>
    </row>
    <row r="632" ht="15.75" customHeight="1">
      <c r="A632" s="29"/>
      <c r="B632" s="29"/>
      <c r="P632" s="30"/>
    </row>
    <row r="633" ht="15.75" customHeight="1">
      <c r="A633" s="29"/>
      <c r="B633" s="29"/>
      <c r="P633" s="30"/>
    </row>
    <row r="634" ht="15.75" customHeight="1">
      <c r="A634" s="29"/>
      <c r="B634" s="29"/>
      <c r="P634" s="30"/>
    </row>
    <row r="635" ht="15.75" customHeight="1">
      <c r="A635" s="29"/>
      <c r="B635" s="29"/>
      <c r="P635" s="30"/>
    </row>
    <row r="636" ht="15.75" customHeight="1">
      <c r="A636" s="29"/>
      <c r="B636" s="29"/>
      <c r="P636" s="30"/>
    </row>
    <row r="637" ht="15.75" customHeight="1">
      <c r="A637" s="29"/>
      <c r="B637" s="29"/>
      <c r="P637" s="30"/>
    </row>
    <row r="638" ht="15.75" customHeight="1">
      <c r="A638" s="29"/>
      <c r="B638" s="29"/>
      <c r="P638" s="30"/>
    </row>
    <row r="639" ht="15.75" customHeight="1">
      <c r="A639" s="29"/>
      <c r="B639" s="29"/>
      <c r="P639" s="30"/>
    </row>
    <row r="640" ht="15.75" customHeight="1">
      <c r="A640" s="29"/>
      <c r="B640" s="29"/>
      <c r="P640" s="30"/>
    </row>
    <row r="641" ht="15.75" customHeight="1">
      <c r="A641" s="29"/>
      <c r="B641" s="29"/>
      <c r="P641" s="30"/>
    </row>
    <row r="642" ht="15.75" customHeight="1">
      <c r="A642" s="29"/>
      <c r="B642" s="29"/>
      <c r="P642" s="30"/>
    </row>
    <row r="643" ht="15.75" customHeight="1">
      <c r="A643" s="29"/>
      <c r="B643" s="29"/>
      <c r="P643" s="30"/>
    </row>
    <row r="644" ht="15.75" customHeight="1">
      <c r="A644" s="29"/>
      <c r="B644" s="29"/>
      <c r="P644" s="30"/>
    </row>
    <row r="645" ht="15.75" customHeight="1">
      <c r="A645" s="29"/>
      <c r="B645" s="29"/>
      <c r="P645" s="30"/>
    </row>
    <row r="646" ht="15.75" customHeight="1">
      <c r="A646" s="29"/>
      <c r="B646" s="29"/>
      <c r="P646" s="30"/>
    </row>
    <row r="647" ht="15.75" customHeight="1">
      <c r="A647" s="29"/>
      <c r="B647" s="29"/>
      <c r="P647" s="30"/>
    </row>
    <row r="648" ht="15.75" customHeight="1">
      <c r="A648" s="29"/>
      <c r="B648" s="29"/>
      <c r="P648" s="30"/>
    </row>
    <row r="649" ht="15.75" customHeight="1">
      <c r="A649" s="29"/>
      <c r="B649" s="29"/>
      <c r="P649" s="30"/>
    </row>
    <row r="650" ht="15.75" customHeight="1">
      <c r="A650" s="29"/>
      <c r="B650" s="29"/>
      <c r="P650" s="30"/>
    </row>
    <row r="651" ht="15.75" customHeight="1">
      <c r="A651" s="29"/>
      <c r="B651" s="29"/>
      <c r="P651" s="30"/>
    </row>
    <row r="652" ht="15.75" customHeight="1">
      <c r="A652" s="29"/>
      <c r="B652" s="29"/>
      <c r="P652" s="30"/>
    </row>
    <row r="653" ht="15.75" customHeight="1">
      <c r="A653" s="29"/>
      <c r="B653" s="29"/>
      <c r="P653" s="30"/>
    </row>
    <row r="654" ht="15.75" customHeight="1">
      <c r="A654" s="29"/>
      <c r="B654" s="29"/>
      <c r="P654" s="30"/>
    </row>
    <row r="655" ht="15.75" customHeight="1">
      <c r="A655" s="29"/>
      <c r="B655" s="29"/>
      <c r="P655" s="30"/>
    </row>
    <row r="656" ht="15.75" customHeight="1">
      <c r="A656" s="29"/>
      <c r="B656" s="29"/>
      <c r="P656" s="30"/>
    </row>
    <row r="657" ht="15.75" customHeight="1">
      <c r="A657" s="29"/>
      <c r="B657" s="29"/>
      <c r="P657" s="30"/>
    </row>
    <row r="658" ht="15.75" customHeight="1">
      <c r="A658" s="29"/>
      <c r="B658" s="29"/>
      <c r="P658" s="30"/>
    </row>
    <row r="659" ht="15.75" customHeight="1">
      <c r="A659" s="29"/>
      <c r="B659" s="29"/>
      <c r="P659" s="30"/>
    </row>
    <row r="660" ht="15.75" customHeight="1">
      <c r="A660" s="29"/>
      <c r="B660" s="29"/>
      <c r="P660" s="30"/>
    </row>
    <row r="661" ht="15.75" customHeight="1">
      <c r="A661" s="29"/>
      <c r="B661" s="29"/>
      <c r="P661" s="30"/>
    </row>
    <row r="662" ht="15.75" customHeight="1">
      <c r="A662" s="29"/>
      <c r="B662" s="29"/>
      <c r="P662" s="30"/>
    </row>
    <row r="663" ht="15.75" customHeight="1">
      <c r="A663" s="29"/>
      <c r="B663" s="29"/>
      <c r="P663" s="30"/>
    </row>
    <row r="664" ht="15.75" customHeight="1">
      <c r="A664" s="29"/>
      <c r="B664" s="29"/>
      <c r="P664" s="30"/>
    </row>
    <row r="665" ht="15.75" customHeight="1">
      <c r="A665" s="29"/>
      <c r="B665" s="29"/>
      <c r="P665" s="30"/>
    </row>
    <row r="666" ht="15.75" customHeight="1">
      <c r="A666" s="29"/>
      <c r="B666" s="29"/>
      <c r="P666" s="30"/>
    </row>
    <row r="667" ht="15.75" customHeight="1">
      <c r="A667" s="29"/>
      <c r="B667" s="29"/>
      <c r="P667" s="30"/>
    </row>
    <row r="668" ht="15.75" customHeight="1">
      <c r="A668" s="29"/>
      <c r="B668" s="29"/>
      <c r="P668" s="30"/>
    </row>
    <row r="669" ht="15.75" customHeight="1">
      <c r="A669" s="29"/>
      <c r="B669" s="29"/>
      <c r="P669" s="30"/>
    </row>
    <row r="670" ht="15.75" customHeight="1">
      <c r="A670" s="29"/>
      <c r="B670" s="29"/>
      <c r="P670" s="30"/>
    </row>
    <row r="671" ht="15.75" customHeight="1">
      <c r="A671" s="29"/>
      <c r="B671" s="29"/>
      <c r="P671" s="30"/>
    </row>
    <row r="672" ht="15.75" customHeight="1">
      <c r="A672" s="29"/>
      <c r="B672" s="29"/>
      <c r="P672" s="30"/>
    </row>
    <row r="673" ht="15.75" customHeight="1">
      <c r="A673" s="29"/>
      <c r="B673" s="29"/>
      <c r="P673" s="30"/>
    </row>
    <row r="674" ht="15.75" customHeight="1">
      <c r="A674" s="29"/>
      <c r="B674" s="29"/>
      <c r="P674" s="30"/>
    </row>
    <row r="675" ht="15.75" customHeight="1">
      <c r="A675" s="29"/>
      <c r="B675" s="29"/>
      <c r="P675" s="30"/>
    </row>
    <row r="676" ht="15.75" customHeight="1">
      <c r="A676" s="29"/>
      <c r="B676" s="29"/>
      <c r="P676" s="30"/>
    </row>
    <row r="677" ht="15.75" customHeight="1">
      <c r="A677" s="29"/>
      <c r="B677" s="29"/>
      <c r="P677" s="30"/>
    </row>
    <row r="678" ht="15.75" customHeight="1">
      <c r="A678" s="29"/>
      <c r="B678" s="29"/>
      <c r="P678" s="30"/>
    </row>
    <row r="679" ht="15.75" customHeight="1">
      <c r="A679" s="29"/>
      <c r="B679" s="29"/>
      <c r="P679" s="30"/>
    </row>
    <row r="680" ht="15.75" customHeight="1">
      <c r="A680" s="29"/>
      <c r="B680" s="29"/>
      <c r="P680" s="30"/>
    </row>
    <row r="681" ht="15.75" customHeight="1">
      <c r="A681" s="29"/>
      <c r="B681" s="29"/>
      <c r="P681" s="30"/>
    </row>
    <row r="682" ht="15.75" customHeight="1">
      <c r="A682" s="29"/>
      <c r="B682" s="29"/>
      <c r="P682" s="30"/>
    </row>
    <row r="683" ht="15.75" customHeight="1">
      <c r="A683" s="29"/>
      <c r="B683" s="29"/>
      <c r="P683" s="30"/>
    </row>
    <row r="684" ht="15.75" customHeight="1">
      <c r="A684" s="29"/>
      <c r="B684" s="29"/>
      <c r="P684" s="30"/>
    </row>
    <row r="685" ht="15.75" customHeight="1">
      <c r="A685" s="29"/>
      <c r="B685" s="29"/>
      <c r="P685" s="30"/>
    </row>
    <row r="686" ht="15.75" customHeight="1">
      <c r="A686" s="29"/>
      <c r="B686" s="29"/>
      <c r="P686" s="30"/>
    </row>
    <row r="687" ht="15.75" customHeight="1">
      <c r="A687" s="29"/>
      <c r="B687" s="29"/>
      <c r="P687" s="30"/>
    </row>
    <row r="688" ht="15.75" customHeight="1">
      <c r="A688" s="29"/>
      <c r="B688" s="29"/>
      <c r="P688" s="30"/>
    </row>
    <row r="689" ht="15.75" customHeight="1">
      <c r="A689" s="29"/>
      <c r="B689" s="29"/>
      <c r="P689" s="30"/>
    </row>
    <row r="690" ht="15.75" customHeight="1">
      <c r="A690" s="29"/>
      <c r="B690" s="29"/>
      <c r="P690" s="30"/>
    </row>
    <row r="691" ht="15.75" customHeight="1">
      <c r="A691" s="29"/>
      <c r="B691" s="29"/>
      <c r="P691" s="30"/>
    </row>
    <row r="692" ht="15.75" customHeight="1">
      <c r="A692" s="29"/>
      <c r="B692" s="29"/>
      <c r="P692" s="30"/>
    </row>
    <row r="693" ht="15.75" customHeight="1">
      <c r="A693" s="29"/>
      <c r="B693" s="29"/>
      <c r="P693" s="30"/>
    </row>
    <row r="694" ht="15.75" customHeight="1">
      <c r="A694" s="29"/>
      <c r="B694" s="29"/>
      <c r="P694" s="30"/>
    </row>
    <row r="695" ht="15.75" customHeight="1">
      <c r="A695" s="29"/>
      <c r="B695" s="29"/>
      <c r="P695" s="30"/>
    </row>
    <row r="696" ht="15.75" customHeight="1">
      <c r="A696" s="29"/>
      <c r="B696" s="29"/>
      <c r="P696" s="30"/>
    </row>
    <row r="697" ht="15.75" customHeight="1">
      <c r="A697" s="29"/>
      <c r="B697" s="29"/>
      <c r="P697" s="30"/>
    </row>
    <row r="698" ht="15.75" customHeight="1">
      <c r="A698" s="29"/>
      <c r="B698" s="29"/>
      <c r="P698" s="30"/>
    </row>
    <row r="699" ht="15.75" customHeight="1">
      <c r="A699" s="29"/>
      <c r="B699" s="29"/>
      <c r="P699" s="30"/>
    </row>
    <row r="700" ht="15.75" customHeight="1">
      <c r="A700" s="29"/>
      <c r="B700" s="29"/>
      <c r="P700" s="30"/>
    </row>
    <row r="701" ht="15.75" customHeight="1">
      <c r="A701" s="29"/>
      <c r="B701" s="29"/>
      <c r="P701" s="30"/>
    </row>
    <row r="702" ht="15.75" customHeight="1">
      <c r="A702" s="29"/>
      <c r="B702" s="29"/>
      <c r="P702" s="30"/>
    </row>
    <row r="703" ht="15.75" customHeight="1">
      <c r="A703" s="29"/>
      <c r="B703" s="29"/>
      <c r="P703" s="30"/>
    </row>
    <row r="704" ht="15.75" customHeight="1">
      <c r="A704" s="29"/>
      <c r="B704" s="29"/>
      <c r="P704" s="30"/>
    </row>
    <row r="705" ht="15.75" customHeight="1">
      <c r="A705" s="29"/>
      <c r="B705" s="29"/>
      <c r="P705" s="30"/>
    </row>
    <row r="706" ht="15.75" customHeight="1">
      <c r="A706" s="29"/>
      <c r="B706" s="29"/>
      <c r="P706" s="30"/>
    </row>
    <row r="707" ht="15.75" customHeight="1">
      <c r="A707" s="29"/>
      <c r="B707" s="29"/>
      <c r="P707" s="30"/>
    </row>
    <row r="708" ht="15.75" customHeight="1">
      <c r="A708" s="29"/>
      <c r="B708" s="29"/>
      <c r="P708" s="30"/>
    </row>
    <row r="709" ht="15.75" customHeight="1">
      <c r="A709" s="29"/>
      <c r="B709" s="29"/>
      <c r="P709" s="30"/>
    </row>
    <row r="710" ht="15.75" customHeight="1">
      <c r="A710" s="29"/>
      <c r="B710" s="29"/>
      <c r="P710" s="30"/>
    </row>
    <row r="711" ht="15.75" customHeight="1">
      <c r="A711" s="29"/>
      <c r="B711" s="29"/>
      <c r="P711" s="30"/>
    </row>
    <row r="712" ht="15.75" customHeight="1">
      <c r="A712" s="29"/>
      <c r="B712" s="29"/>
      <c r="P712" s="30"/>
    </row>
    <row r="713" ht="15.75" customHeight="1">
      <c r="A713" s="29"/>
      <c r="B713" s="29"/>
      <c r="P713" s="30"/>
    </row>
    <row r="714" ht="15.75" customHeight="1">
      <c r="A714" s="29"/>
      <c r="B714" s="29"/>
      <c r="P714" s="30"/>
    </row>
    <row r="715" ht="15.75" customHeight="1">
      <c r="A715" s="29"/>
      <c r="B715" s="29"/>
      <c r="P715" s="30"/>
    </row>
    <row r="716" ht="15.75" customHeight="1">
      <c r="A716" s="29"/>
      <c r="B716" s="29"/>
      <c r="P716" s="30"/>
    </row>
    <row r="717" ht="15.75" customHeight="1">
      <c r="A717" s="29"/>
      <c r="B717" s="29"/>
      <c r="P717" s="30"/>
    </row>
    <row r="718" ht="15.75" customHeight="1">
      <c r="A718" s="29"/>
      <c r="B718" s="29"/>
      <c r="P718" s="30"/>
    </row>
    <row r="719" ht="15.75" customHeight="1">
      <c r="A719" s="29"/>
      <c r="B719" s="29"/>
      <c r="P719" s="30"/>
    </row>
    <row r="720" ht="15.75" customHeight="1">
      <c r="A720" s="29"/>
      <c r="B720" s="29"/>
      <c r="P720" s="30"/>
    </row>
    <row r="721" ht="15.75" customHeight="1">
      <c r="A721" s="29"/>
      <c r="B721" s="29"/>
      <c r="P721" s="30"/>
    </row>
    <row r="722" ht="15.75" customHeight="1">
      <c r="A722" s="29"/>
      <c r="B722" s="29"/>
      <c r="P722" s="30"/>
    </row>
    <row r="723" ht="15.75" customHeight="1">
      <c r="A723" s="29"/>
      <c r="B723" s="29"/>
      <c r="P723" s="30"/>
    </row>
    <row r="724" ht="15.75" customHeight="1">
      <c r="A724" s="29"/>
      <c r="B724" s="29"/>
      <c r="P724" s="30"/>
    </row>
    <row r="725" ht="15.75" customHeight="1">
      <c r="A725" s="29"/>
      <c r="B725" s="29"/>
      <c r="P725" s="30"/>
    </row>
    <row r="726" ht="15.75" customHeight="1">
      <c r="A726" s="29"/>
      <c r="B726" s="29"/>
      <c r="P726" s="30"/>
    </row>
    <row r="727" ht="15.75" customHeight="1">
      <c r="A727" s="29"/>
      <c r="B727" s="29"/>
      <c r="P727" s="30"/>
    </row>
    <row r="728" ht="15.75" customHeight="1">
      <c r="A728" s="29"/>
      <c r="B728" s="29"/>
      <c r="P728" s="30"/>
    </row>
    <row r="729" ht="15.75" customHeight="1">
      <c r="A729" s="29"/>
      <c r="B729" s="29"/>
      <c r="P729" s="30"/>
    </row>
    <row r="730" ht="15.75" customHeight="1">
      <c r="A730" s="29"/>
      <c r="B730" s="29"/>
      <c r="P730" s="30"/>
    </row>
    <row r="731" ht="15.75" customHeight="1">
      <c r="A731" s="29"/>
      <c r="B731" s="29"/>
      <c r="P731" s="30"/>
    </row>
    <row r="732" ht="15.75" customHeight="1">
      <c r="A732" s="29"/>
      <c r="B732" s="29"/>
      <c r="P732" s="30"/>
    </row>
    <row r="733" ht="15.75" customHeight="1">
      <c r="A733" s="29"/>
      <c r="B733" s="29"/>
      <c r="P733" s="30"/>
    </row>
    <row r="734" ht="15.75" customHeight="1">
      <c r="A734" s="29"/>
      <c r="B734" s="29"/>
      <c r="P734" s="30"/>
    </row>
    <row r="735" ht="15.75" customHeight="1">
      <c r="A735" s="29"/>
      <c r="B735" s="29"/>
      <c r="P735" s="30"/>
    </row>
    <row r="736" ht="15.75" customHeight="1">
      <c r="A736" s="29"/>
      <c r="B736" s="29"/>
      <c r="P736" s="30"/>
    </row>
    <row r="737" ht="15.75" customHeight="1">
      <c r="A737" s="29"/>
      <c r="B737" s="29"/>
      <c r="P737" s="30"/>
    </row>
    <row r="738" ht="15.75" customHeight="1">
      <c r="A738" s="29"/>
      <c r="B738" s="29"/>
      <c r="P738" s="30"/>
    </row>
    <row r="739" ht="15.75" customHeight="1">
      <c r="A739" s="29"/>
      <c r="B739" s="29"/>
      <c r="P739" s="30"/>
    </row>
    <row r="740" ht="15.75" customHeight="1">
      <c r="A740" s="29"/>
      <c r="B740" s="29"/>
      <c r="P740" s="30"/>
    </row>
    <row r="741" ht="15.75" customHeight="1">
      <c r="A741" s="29"/>
      <c r="B741" s="29"/>
      <c r="P741" s="30"/>
    </row>
    <row r="742" ht="15.75" customHeight="1">
      <c r="A742" s="29"/>
      <c r="B742" s="29"/>
      <c r="P742" s="30"/>
    </row>
    <row r="743" ht="15.75" customHeight="1">
      <c r="A743" s="29"/>
      <c r="B743" s="29"/>
      <c r="P743" s="30"/>
    </row>
    <row r="744" ht="15.75" customHeight="1">
      <c r="A744" s="29"/>
      <c r="B744" s="29"/>
      <c r="P744" s="30"/>
    </row>
    <row r="745" ht="15.75" customHeight="1">
      <c r="A745" s="29"/>
      <c r="B745" s="29"/>
      <c r="P745" s="30"/>
    </row>
    <row r="746" ht="15.75" customHeight="1">
      <c r="A746" s="29"/>
      <c r="B746" s="29"/>
      <c r="P746" s="30"/>
    </row>
    <row r="747" ht="15.75" customHeight="1">
      <c r="A747" s="29"/>
      <c r="B747" s="29"/>
      <c r="P747" s="30"/>
    </row>
    <row r="748" ht="15.75" customHeight="1">
      <c r="A748" s="29"/>
      <c r="B748" s="29"/>
      <c r="P748" s="30"/>
    </row>
    <row r="749" ht="15.75" customHeight="1">
      <c r="A749" s="29"/>
      <c r="B749" s="29"/>
      <c r="P749" s="30"/>
    </row>
    <row r="750" ht="15.75" customHeight="1">
      <c r="A750" s="29"/>
      <c r="B750" s="29"/>
      <c r="P750" s="30"/>
    </row>
    <row r="751" ht="15.75" customHeight="1">
      <c r="A751" s="29"/>
      <c r="B751" s="29"/>
      <c r="P751" s="30"/>
    </row>
    <row r="752" ht="15.75" customHeight="1">
      <c r="A752" s="29"/>
      <c r="B752" s="29"/>
      <c r="P752" s="30"/>
    </row>
    <row r="753" ht="15.75" customHeight="1">
      <c r="A753" s="29"/>
      <c r="B753" s="29"/>
      <c r="P753" s="30"/>
    </row>
    <row r="754" ht="15.75" customHeight="1">
      <c r="A754" s="29"/>
      <c r="B754" s="29"/>
      <c r="P754" s="30"/>
    </row>
    <row r="755" ht="15.75" customHeight="1">
      <c r="A755" s="29"/>
      <c r="B755" s="29"/>
      <c r="P755" s="30"/>
    </row>
    <row r="756" ht="15.75" customHeight="1">
      <c r="A756" s="29"/>
      <c r="B756" s="29"/>
      <c r="P756" s="30"/>
    </row>
    <row r="757" ht="15.75" customHeight="1">
      <c r="A757" s="29"/>
      <c r="B757" s="29"/>
      <c r="P757" s="30"/>
    </row>
    <row r="758" ht="15.75" customHeight="1">
      <c r="A758" s="29"/>
      <c r="B758" s="29"/>
      <c r="P758" s="30"/>
    </row>
    <row r="759" ht="15.75" customHeight="1">
      <c r="A759" s="29"/>
      <c r="B759" s="29"/>
      <c r="P759" s="30"/>
    </row>
    <row r="760" ht="15.75" customHeight="1">
      <c r="A760" s="29"/>
      <c r="B760" s="29"/>
      <c r="P760" s="30"/>
    </row>
    <row r="761" ht="15.75" customHeight="1">
      <c r="A761" s="29"/>
      <c r="B761" s="29"/>
      <c r="P761" s="30"/>
    </row>
    <row r="762" ht="15.75" customHeight="1">
      <c r="A762" s="29"/>
      <c r="B762" s="29"/>
      <c r="P762" s="30"/>
    </row>
    <row r="763" ht="15.75" customHeight="1">
      <c r="A763" s="29"/>
      <c r="B763" s="29"/>
      <c r="P763" s="30"/>
    </row>
    <row r="764" ht="15.75" customHeight="1">
      <c r="A764" s="29"/>
      <c r="B764" s="29"/>
      <c r="P764" s="30"/>
    </row>
    <row r="765" ht="15.75" customHeight="1">
      <c r="A765" s="29"/>
      <c r="B765" s="29"/>
      <c r="P765" s="30"/>
    </row>
    <row r="766" ht="15.75" customHeight="1">
      <c r="A766" s="29"/>
      <c r="B766" s="29"/>
      <c r="P766" s="30"/>
    </row>
    <row r="767" ht="15.75" customHeight="1">
      <c r="A767" s="29"/>
      <c r="B767" s="29"/>
      <c r="P767" s="30"/>
    </row>
    <row r="768" ht="15.75" customHeight="1">
      <c r="A768" s="29"/>
      <c r="B768" s="29"/>
      <c r="P768" s="30"/>
    </row>
    <row r="769" ht="15.75" customHeight="1">
      <c r="A769" s="29"/>
      <c r="B769" s="29"/>
      <c r="P769" s="30"/>
    </row>
    <row r="770" ht="15.75" customHeight="1">
      <c r="A770" s="29"/>
      <c r="B770" s="29"/>
      <c r="P770" s="30"/>
    </row>
    <row r="771" ht="15.75" customHeight="1">
      <c r="A771" s="29"/>
      <c r="B771" s="29"/>
      <c r="P771" s="30"/>
    </row>
    <row r="772" ht="15.75" customHeight="1">
      <c r="A772" s="29"/>
      <c r="B772" s="29"/>
      <c r="P772" s="30"/>
    </row>
    <row r="773" ht="15.75" customHeight="1">
      <c r="A773" s="29"/>
      <c r="B773" s="29"/>
      <c r="P773" s="30"/>
    </row>
    <row r="774" ht="15.75" customHeight="1">
      <c r="A774" s="29"/>
      <c r="B774" s="29"/>
      <c r="P774" s="30"/>
    </row>
    <row r="775" ht="15.75" customHeight="1">
      <c r="A775" s="29"/>
      <c r="B775" s="29"/>
      <c r="P775" s="30"/>
    </row>
    <row r="776" ht="15.75" customHeight="1">
      <c r="A776" s="29"/>
      <c r="B776" s="29"/>
      <c r="P776" s="30"/>
    </row>
    <row r="777" ht="15.75" customHeight="1">
      <c r="A777" s="29"/>
      <c r="B777" s="29"/>
      <c r="P777" s="30"/>
    </row>
    <row r="778" ht="15.75" customHeight="1">
      <c r="A778" s="29"/>
      <c r="B778" s="29"/>
      <c r="P778" s="30"/>
    </row>
    <row r="779" ht="15.75" customHeight="1">
      <c r="A779" s="29"/>
      <c r="B779" s="29"/>
      <c r="P779" s="30"/>
    </row>
    <row r="780" ht="15.75" customHeight="1">
      <c r="A780" s="29"/>
      <c r="B780" s="29"/>
      <c r="P780" s="30"/>
    </row>
    <row r="781" ht="15.75" customHeight="1">
      <c r="A781" s="29"/>
      <c r="B781" s="29"/>
      <c r="P781" s="30"/>
    </row>
    <row r="782" ht="15.75" customHeight="1">
      <c r="A782" s="29"/>
      <c r="B782" s="29"/>
      <c r="P782" s="30"/>
    </row>
    <row r="783" ht="15.75" customHeight="1">
      <c r="A783" s="29"/>
      <c r="B783" s="29"/>
      <c r="P783" s="30"/>
    </row>
    <row r="784" ht="15.75" customHeight="1">
      <c r="A784" s="29"/>
      <c r="B784" s="29"/>
      <c r="P784" s="30"/>
    </row>
    <row r="785" ht="15.75" customHeight="1">
      <c r="A785" s="29"/>
      <c r="B785" s="29"/>
      <c r="P785" s="30"/>
    </row>
    <row r="786" ht="15.75" customHeight="1">
      <c r="A786" s="29"/>
      <c r="B786" s="29"/>
      <c r="P786" s="30"/>
    </row>
    <row r="787" ht="15.75" customHeight="1">
      <c r="A787" s="29"/>
      <c r="B787" s="29"/>
      <c r="P787" s="30"/>
    </row>
    <row r="788" ht="15.75" customHeight="1">
      <c r="A788" s="29"/>
      <c r="B788" s="29"/>
      <c r="P788" s="30"/>
    </row>
    <row r="789" ht="15.75" customHeight="1">
      <c r="A789" s="29"/>
      <c r="B789" s="29"/>
      <c r="P789" s="30"/>
    </row>
    <row r="790" ht="15.75" customHeight="1">
      <c r="A790" s="29"/>
      <c r="B790" s="29"/>
      <c r="P790" s="30"/>
    </row>
    <row r="791" ht="15.75" customHeight="1">
      <c r="A791" s="29"/>
      <c r="B791" s="29"/>
      <c r="P791" s="30"/>
    </row>
    <row r="792" ht="15.75" customHeight="1">
      <c r="A792" s="29"/>
      <c r="B792" s="29"/>
      <c r="P792" s="30"/>
    </row>
    <row r="793" ht="15.75" customHeight="1">
      <c r="A793" s="29"/>
      <c r="B793" s="29"/>
      <c r="P793" s="30"/>
    </row>
    <row r="794" ht="15.75" customHeight="1">
      <c r="A794" s="29"/>
      <c r="B794" s="29"/>
      <c r="P794" s="30"/>
    </row>
    <row r="795" ht="15.75" customHeight="1">
      <c r="A795" s="29"/>
      <c r="B795" s="29"/>
      <c r="P795" s="30"/>
    </row>
    <row r="796" ht="15.75" customHeight="1">
      <c r="A796" s="29"/>
      <c r="B796" s="29"/>
      <c r="P796" s="30"/>
    </row>
    <row r="797" ht="15.75" customHeight="1">
      <c r="A797" s="29"/>
      <c r="B797" s="29"/>
      <c r="P797" s="30"/>
    </row>
    <row r="798" ht="15.75" customHeight="1">
      <c r="A798" s="29"/>
      <c r="B798" s="29"/>
      <c r="P798" s="30"/>
    </row>
    <row r="799" ht="15.75" customHeight="1">
      <c r="A799" s="29"/>
      <c r="B799" s="29"/>
      <c r="P799" s="30"/>
    </row>
    <row r="800" ht="15.75" customHeight="1">
      <c r="A800" s="29"/>
      <c r="B800" s="29"/>
      <c r="P800" s="30"/>
    </row>
    <row r="801" ht="15.75" customHeight="1">
      <c r="A801" s="29"/>
      <c r="B801" s="29"/>
      <c r="P801" s="30"/>
    </row>
    <row r="802" ht="15.75" customHeight="1">
      <c r="A802" s="29"/>
      <c r="B802" s="29"/>
      <c r="P802" s="30"/>
    </row>
    <row r="803" ht="15.75" customHeight="1">
      <c r="A803" s="29"/>
      <c r="B803" s="29"/>
      <c r="P803" s="30"/>
    </row>
    <row r="804" ht="15.75" customHeight="1">
      <c r="A804" s="29"/>
      <c r="B804" s="29"/>
      <c r="P804" s="30"/>
    </row>
    <row r="805" ht="15.75" customHeight="1">
      <c r="A805" s="29"/>
      <c r="B805" s="29"/>
      <c r="P805" s="30"/>
    </row>
    <row r="806" ht="15.75" customHeight="1">
      <c r="A806" s="29"/>
      <c r="B806" s="29"/>
      <c r="P806" s="30"/>
    </row>
    <row r="807" ht="15.75" customHeight="1">
      <c r="A807" s="29"/>
      <c r="B807" s="29"/>
      <c r="P807" s="30"/>
    </row>
    <row r="808" ht="15.75" customHeight="1">
      <c r="A808" s="29"/>
      <c r="B808" s="29"/>
      <c r="P808" s="30"/>
    </row>
    <row r="809" ht="15.75" customHeight="1">
      <c r="A809" s="29"/>
      <c r="B809" s="29"/>
      <c r="P809" s="30"/>
    </row>
    <row r="810" ht="15.75" customHeight="1">
      <c r="A810" s="29"/>
      <c r="B810" s="29"/>
      <c r="P810" s="30"/>
    </row>
    <row r="811" ht="15.75" customHeight="1">
      <c r="A811" s="29"/>
      <c r="B811" s="29"/>
      <c r="P811" s="30"/>
    </row>
    <row r="812" ht="15.75" customHeight="1">
      <c r="A812" s="29"/>
      <c r="B812" s="29"/>
      <c r="P812" s="30"/>
    </row>
    <row r="813" ht="15.75" customHeight="1">
      <c r="A813" s="29"/>
      <c r="B813" s="29"/>
      <c r="P813" s="30"/>
    </row>
    <row r="814" ht="15.75" customHeight="1">
      <c r="A814" s="29"/>
      <c r="B814" s="29"/>
      <c r="P814" s="30"/>
    </row>
    <row r="815" ht="15.75" customHeight="1">
      <c r="A815" s="29"/>
      <c r="B815" s="29"/>
      <c r="P815" s="30"/>
    </row>
    <row r="816" ht="15.75" customHeight="1">
      <c r="A816" s="29"/>
      <c r="B816" s="29"/>
      <c r="P816" s="30"/>
    </row>
    <row r="817" ht="15.75" customHeight="1">
      <c r="A817" s="29"/>
      <c r="B817" s="29"/>
      <c r="P817" s="30"/>
    </row>
    <row r="818" ht="15.75" customHeight="1">
      <c r="A818" s="29"/>
      <c r="B818" s="29"/>
      <c r="P818" s="30"/>
    </row>
    <row r="819" ht="15.75" customHeight="1">
      <c r="A819" s="29"/>
      <c r="B819" s="29"/>
      <c r="P819" s="30"/>
    </row>
    <row r="820" ht="15.75" customHeight="1">
      <c r="A820" s="29"/>
      <c r="B820" s="29"/>
      <c r="P820" s="30"/>
    </row>
    <row r="821" ht="15.75" customHeight="1">
      <c r="A821" s="29"/>
      <c r="B821" s="29"/>
      <c r="P821" s="30"/>
    </row>
    <row r="822" ht="15.75" customHeight="1">
      <c r="A822" s="29"/>
      <c r="B822" s="29"/>
      <c r="P822" s="30"/>
    </row>
    <row r="823" ht="15.75" customHeight="1">
      <c r="A823" s="29"/>
      <c r="B823" s="29"/>
      <c r="P823" s="30"/>
    </row>
    <row r="824" ht="15.75" customHeight="1">
      <c r="A824" s="29"/>
      <c r="B824" s="29"/>
      <c r="P824" s="30"/>
    </row>
    <row r="825" ht="15.75" customHeight="1">
      <c r="A825" s="29"/>
      <c r="B825" s="29"/>
      <c r="P825" s="30"/>
    </row>
    <row r="826" ht="15.75" customHeight="1">
      <c r="A826" s="29"/>
      <c r="B826" s="29"/>
      <c r="P826" s="30"/>
    </row>
    <row r="827" ht="15.75" customHeight="1">
      <c r="A827" s="29"/>
      <c r="B827" s="29"/>
      <c r="P827" s="30"/>
    </row>
    <row r="828" ht="15.75" customHeight="1">
      <c r="A828" s="29"/>
      <c r="B828" s="29"/>
      <c r="P828" s="30"/>
    </row>
    <row r="829" ht="15.75" customHeight="1">
      <c r="A829" s="29"/>
      <c r="B829" s="29"/>
      <c r="P829" s="30"/>
    </row>
    <row r="830" ht="15.75" customHeight="1">
      <c r="A830" s="29"/>
      <c r="B830" s="29"/>
      <c r="P830" s="30"/>
    </row>
    <row r="831" ht="15.75" customHeight="1">
      <c r="A831" s="29"/>
      <c r="B831" s="29"/>
      <c r="P831" s="30"/>
    </row>
    <row r="832" ht="15.75" customHeight="1">
      <c r="A832" s="29"/>
      <c r="B832" s="29"/>
      <c r="P832" s="30"/>
    </row>
    <row r="833" ht="15.75" customHeight="1">
      <c r="A833" s="29"/>
      <c r="B833" s="29"/>
      <c r="P833" s="30"/>
    </row>
    <row r="834" ht="15.75" customHeight="1">
      <c r="A834" s="29"/>
      <c r="B834" s="29"/>
      <c r="P834" s="30"/>
    </row>
    <row r="835" ht="15.75" customHeight="1">
      <c r="A835" s="29"/>
      <c r="B835" s="29"/>
      <c r="P835" s="30"/>
    </row>
    <row r="836" ht="15.75" customHeight="1">
      <c r="A836" s="29"/>
      <c r="B836" s="29"/>
      <c r="P836" s="30"/>
    </row>
    <row r="837" ht="15.75" customHeight="1">
      <c r="A837" s="29"/>
      <c r="B837" s="29"/>
      <c r="P837" s="30"/>
    </row>
    <row r="838" ht="15.75" customHeight="1">
      <c r="A838" s="29"/>
      <c r="B838" s="29"/>
      <c r="P838" s="30"/>
    </row>
    <row r="839" ht="15.75" customHeight="1">
      <c r="A839" s="29"/>
      <c r="B839" s="29"/>
      <c r="P839" s="30"/>
    </row>
    <row r="840" ht="15.75" customHeight="1">
      <c r="A840" s="29"/>
      <c r="B840" s="29"/>
      <c r="P840" s="30"/>
    </row>
    <row r="841" ht="15.75" customHeight="1">
      <c r="A841" s="29"/>
      <c r="B841" s="29"/>
      <c r="P841" s="30"/>
    </row>
    <row r="842" ht="15.75" customHeight="1">
      <c r="A842" s="29"/>
      <c r="B842" s="29"/>
      <c r="P842" s="30"/>
    </row>
    <row r="843" ht="15.75" customHeight="1">
      <c r="A843" s="29"/>
      <c r="B843" s="29"/>
      <c r="P843" s="30"/>
    </row>
    <row r="844" ht="15.75" customHeight="1">
      <c r="A844" s="29"/>
      <c r="B844" s="29"/>
      <c r="P844" s="30"/>
    </row>
    <row r="845" ht="15.75" customHeight="1">
      <c r="A845" s="29"/>
      <c r="B845" s="29"/>
      <c r="P845" s="30"/>
    </row>
    <row r="846" ht="15.75" customHeight="1">
      <c r="A846" s="29"/>
      <c r="B846" s="29"/>
      <c r="P846" s="30"/>
    </row>
    <row r="847" ht="15.75" customHeight="1">
      <c r="A847" s="29"/>
      <c r="B847" s="29"/>
      <c r="P847" s="30"/>
    </row>
    <row r="848" ht="15.75" customHeight="1">
      <c r="A848" s="29"/>
      <c r="B848" s="29"/>
      <c r="P848" s="30"/>
    </row>
    <row r="849" ht="15.75" customHeight="1">
      <c r="A849" s="29"/>
      <c r="B849" s="29"/>
      <c r="P849" s="30"/>
    </row>
    <row r="850" ht="15.75" customHeight="1">
      <c r="A850" s="29"/>
      <c r="B850" s="29"/>
      <c r="P850" s="30"/>
    </row>
    <row r="851" ht="15.75" customHeight="1">
      <c r="A851" s="29"/>
      <c r="B851" s="29"/>
      <c r="P851" s="30"/>
    </row>
    <row r="852" ht="15.75" customHeight="1">
      <c r="A852" s="29"/>
      <c r="B852" s="29"/>
      <c r="P852" s="30"/>
    </row>
    <row r="853" ht="15.75" customHeight="1">
      <c r="A853" s="29"/>
      <c r="B853" s="29"/>
      <c r="P853" s="30"/>
    </row>
    <row r="854" ht="15.75" customHeight="1">
      <c r="A854" s="29"/>
      <c r="B854" s="29"/>
      <c r="P854" s="30"/>
    </row>
    <row r="855" ht="15.75" customHeight="1">
      <c r="A855" s="29"/>
      <c r="B855" s="29"/>
      <c r="P855" s="30"/>
    </row>
    <row r="856" ht="15.75" customHeight="1">
      <c r="A856" s="29"/>
      <c r="B856" s="29"/>
      <c r="P856" s="30"/>
    </row>
    <row r="857" ht="15.75" customHeight="1">
      <c r="A857" s="29"/>
      <c r="B857" s="29"/>
      <c r="P857" s="30"/>
    </row>
    <row r="858" ht="15.75" customHeight="1">
      <c r="A858" s="29"/>
      <c r="B858" s="29"/>
      <c r="P858" s="30"/>
    </row>
    <row r="859" ht="15.75" customHeight="1">
      <c r="A859" s="29"/>
      <c r="B859" s="29"/>
      <c r="P859" s="30"/>
    </row>
    <row r="860" ht="15.75" customHeight="1">
      <c r="A860" s="29"/>
      <c r="B860" s="29"/>
      <c r="P860" s="30"/>
    </row>
    <row r="861" ht="15.75" customHeight="1">
      <c r="A861" s="29"/>
      <c r="B861" s="29"/>
      <c r="P861" s="30"/>
    </row>
    <row r="862" ht="15.75" customHeight="1">
      <c r="A862" s="29"/>
      <c r="B862" s="29"/>
      <c r="P862" s="30"/>
    </row>
    <row r="863" ht="15.75" customHeight="1">
      <c r="A863" s="29"/>
      <c r="B863" s="29"/>
      <c r="P863" s="30"/>
    </row>
    <row r="864" ht="15.75" customHeight="1">
      <c r="A864" s="29"/>
      <c r="B864" s="29"/>
      <c r="P864" s="30"/>
    </row>
    <row r="865" ht="15.75" customHeight="1">
      <c r="A865" s="29"/>
      <c r="B865" s="29"/>
      <c r="P865" s="30"/>
    </row>
    <row r="866" ht="15.75" customHeight="1">
      <c r="A866" s="29"/>
      <c r="B866" s="29"/>
      <c r="P866" s="30"/>
    </row>
    <row r="867" ht="15.75" customHeight="1">
      <c r="A867" s="29"/>
      <c r="B867" s="29"/>
      <c r="P867" s="30"/>
    </row>
    <row r="868" ht="15.75" customHeight="1">
      <c r="A868" s="29"/>
      <c r="B868" s="29"/>
      <c r="P868" s="30"/>
    </row>
    <row r="869" ht="15.75" customHeight="1">
      <c r="A869" s="29"/>
      <c r="B869" s="29"/>
      <c r="P869" s="30"/>
    </row>
    <row r="870" ht="15.75" customHeight="1">
      <c r="A870" s="29"/>
      <c r="B870" s="29"/>
      <c r="P870" s="30"/>
    </row>
    <row r="871" ht="15.75" customHeight="1">
      <c r="A871" s="29"/>
      <c r="B871" s="29"/>
      <c r="P871" s="30"/>
    </row>
    <row r="872" ht="15.75" customHeight="1">
      <c r="A872" s="29"/>
      <c r="B872" s="29"/>
      <c r="P872" s="30"/>
    </row>
    <row r="873" ht="15.75" customHeight="1">
      <c r="A873" s="29"/>
      <c r="B873" s="29"/>
      <c r="P873" s="30"/>
    </row>
    <row r="874" ht="15.75" customHeight="1">
      <c r="A874" s="29"/>
      <c r="B874" s="29"/>
      <c r="P874" s="30"/>
    </row>
    <row r="875" ht="15.75" customHeight="1">
      <c r="A875" s="29"/>
      <c r="B875" s="29"/>
      <c r="P875" s="30"/>
    </row>
    <row r="876" ht="15.75" customHeight="1">
      <c r="A876" s="29"/>
      <c r="B876" s="29"/>
      <c r="P876" s="30"/>
    </row>
    <row r="877" ht="15.75" customHeight="1">
      <c r="A877" s="29"/>
      <c r="B877" s="29"/>
      <c r="P877" s="30"/>
    </row>
    <row r="878" ht="15.75" customHeight="1">
      <c r="A878" s="29"/>
      <c r="B878" s="29"/>
      <c r="P878" s="30"/>
    </row>
    <row r="879" ht="15.75" customHeight="1">
      <c r="A879" s="29"/>
      <c r="B879" s="29"/>
      <c r="P879" s="30"/>
    </row>
    <row r="880" ht="15.75" customHeight="1">
      <c r="A880" s="29"/>
      <c r="B880" s="29"/>
      <c r="P880" s="30"/>
    </row>
    <row r="881" ht="15.75" customHeight="1">
      <c r="A881" s="29"/>
      <c r="B881" s="29"/>
      <c r="P881" s="30"/>
    </row>
    <row r="882" ht="15.75" customHeight="1">
      <c r="A882" s="29"/>
      <c r="B882" s="29"/>
      <c r="P882" s="30"/>
    </row>
    <row r="883" ht="15.75" customHeight="1">
      <c r="A883" s="29"/>
      <c r="B883" s="29"/>
      <c r="P883" s="30"/>
    </row>
    <row r="884" ht="15.75" customHeight="1">
      <c r="A884" s="29"/>
      <c r="B884" s="29"/>
      <c r="P884" s="30"/>
    </row>
    <row r="885" ht="15.75" customHeight="1">
      <c r="A885" s="29"/>
      <c r="B885" s="29"/>
      <c r="P885" s="30"/>
    </row>
    <row r="886" ht="15.75" customHeight="1">
      <c r="A886" s="29"/>
      <c r="B886" s="29"/>
      <c r="P886" s="30"/>
    </row>
    <row r="887" ht="15.75" customHeight="1">
      <c r="A887" s="29"/>
      <c r="B887" s="29"/>
      <c r="P887" s="30"/>
    </row>
    <row r="888" ht="15.75" customHeight="1">
      <c r="A888" s="29"/>
      <c r="B888" s="29"/>
      <c r="P888" s="30"/>
    </row>
    <row r="889" ht="15.75" customHeight="1">
      <c r="A889" s="29"/>
      <c r="B889" s="29"/>
      <c r="P889" s="30"/>
    </row>
    <row r="890" ht="15.75" customHeight="1">
      <c r="A890" s="29"/>
      <c r="B890" s="29"/>
      <c r="P890" s="30"/>
    </row>
    <row r="891" ht="15.75" customHeight="1">
      <c r="A891" s="29"/>
      <c r="B891" s="29"/>
      <c r="P891" s="30"/>
    </row>
    <row r="892" ht="15.75" customHeight="1">
      <c r="A892" s="29"/>
      <c r="B892" s="29"/>
      <c r="P892" s="30"/>
    </row>
    <row r="893" ht="15.75" customHeight="1">
      <c r="A893" s="29"/>
      <c r="B893" s="29"/>
      <c r="P893" s="30"/>
    </row>
    <row r="894" ht="15.75" customHeight="1">
      <c r="A894" s="29"/>
      <c r="B894" s="29"/>
      <c r="P894" s="30"/>
    </row>
    <row r="895" ht="15.75" customHeight="1">
      <c r="A895" s="29"/>
      <c r="B895" s="29"/>
      <c r="P895" s="30"/>
    </row>
    <row r="896" ht="15.75" customHeight="1">
      <c r="A896" s="29"/>
      <c r="B896" s="29"/>
      <c r="P896" s="30"/>
    </row>
    <row r="897" ht="15.75" customHeight="1">
      <c r="A897" s="29"/>
      <c r="B897" s="29"/>
      <c r="P897" s="30"/>
    </row>
    <row r="898" ht="15.75" customHeight="1">
      <c r="A898" s="29"/>
      <c r="B898" s="29"/>
      <c r="P898" s="30"/>
    </row>
    <row r="899" ht="15.75" customHeight="1">
      <c r="A899" s="29"/>
      <c r="B899" s="29"/>
      <c r="P899" s="30"/>
    </row>
    <row r="900" ht="15.75" customHeight="1">
      <c r="A900" s="29"/>
      <c r="B900" s="29"/>
      <c r="P900" s="30"/>
    </row>
    <row r="901" ht="15.75" customHeight="1">
      <c r="A901" s="29"/>
      <c r="B901" s="29"/>
      <c r="P901" s="30"/>
    </row>
    <row r="902" ht="15.75" customHeight="1">
      <c r="A902" s="29"/>
      <c r="B902" s="29"/>
      <c r="P902" s="30"/>
    </row>
    <row r="903" ht="15.75" customHeight="1">
      <c r="A903" s="29"/>
      <c r="B903" s="29"/>
      <c r="P903" s="30"/>
    </row>
    <row r="904" ht="15.75" customHeight="1">
      <c r="A904" s="29"/>
      <c r="B904" s="29"/>
      <c r="P904" s="30"/>
    </row>
    <row r="905" ht="15.75" customHeight="1">
      <c r="A905" s="29"/>
      <c r="B905" s="29"/>
      <c r="P905" s="30"/>
    </row>
    <row r="906" ht="15.75" customHeight="1">
      <c r="A906" s="29"/>
      <c r="B906" s="29"/>
      <c r="P906" s="30"/>
    </row>
    <row r="907" ht="15.75" customHeight="1">
      <c r="A907" s="29"/>
      <c r="B907" s="29"/>
      <c r="P907" s="30"/>
    </row>
    <row r="908" ht="15.75" customHeight="1">
      <c r="A908" s="29"/>
      <c r="B908" s="29"/>
      <c r="P908" s="30"/>
    </row>
    <row r="909" ht="15.75" customHeight="1">
      <c r="A909" s="29"/>
      <c r="B909" s="29"/>
      <c r="P909" s="30"/>
    </row>
    <row r="910" ht="15.75" customHeight="1">
      <c r="A910" s="29"/>
      <c r="B910" s="29"/>
      <c r="P910" s="30"/>
    </row>
    <row r="911" ht="15.75" customHeight="1">
      <c r="A911" s="29"/>
      <c r="B911" s="29"/>
      <c r="P911" s="30"/>
    </row>
    <row r="912" ht="15.75" customHeight="1">
      <c r="A912" s="29"/>
      <c r="B912" s="29"/>
      <c r="P912" s="30"/>
    </row>
    <row r="913" ht="15.75" customHeight="1">
      <c r="A913" s="29"/>
      <c r="B913" s="29"/>
      <c r="P913" s="30"/>
    </row>
    <row r="914" ht="15.75" customHeight="1">
      <c r="A914" s="29"/>
      <c r="B914" s="29"/>
      <c r="P914" s="30"/>
    </row>
    <row r="915" ht="15.75" customHeight="1">
      <c r="A915" s="29"/>
      <c r="B915" s="29"/>
      <c r="P915" s="30"/>
    </row>
    <row r="916" ht="15.75" customHeight="1">
      <c r="A916" s="29"/>
      <c r="B916" s="29"/>
      <c r="P916" s="30"/>
    </row>
    <row r="917" ht="15.75" customHeight="1">
      <c r="A917" s="29"/>
      <c r="B917" s="29"/>
      <c r="P917" s="30"/>
    </row>
    <row r="918" ht="15.75" customHeight="1">
      <c r="A918" s="29"/>
      <c r="B918" s="29"/>
      <c r="P918" s="30"/>
    </row>
    <row r="919" ht="15.75" customHeight="1">
      <c r="A919" s="29"/>
      <c r="B919" s="29"/>
      <c r="P919" s="30"/>
    </row>
    <row r="920" ht="15.75" customHeight="1">
      <c r="A920" s="29"/>
      <c r="B920" s="29"/>
      <c r="P920" s="30"/>
    </row>
    <row r="921" ht="15.75" customHeight="1">
      <c r="A921" s="29"/>
      <c r="B921" s="29"/>
      <c r="P921" s="30"/>
    </row>
    <row r="922" ht="15.75" customHeight="1">
      <c r="A922" s="29"/>
      <c r="B922" s="29"/>
      <c r="P922" s="30"/>
    </row>
    <row r="923" ht="15.75" customHeight="1">
      <c r="A923" s="29"/>
      <c r="B923" s="29"/>
      <c r="P923" s="30"/>
    </row>
    <row r="924" ht="15.75" customHeight="1">
      <c r="A924" s="29"/>
      <c r="B924" s="29"/>
      <c r="P924" s="30"/>
    </row>
    <row r="925" ht="15.75" customHeight="1">
      <c r="A925" s="29"/>
      <c r="B925" s="29"/>
      <c r="P925" s="30"/>
    </row>
    <row r="926" ht="15.75" customHeight="1">
      <c r="A926" s="29"/>
      <c r="B926" s="29"/>
      <c r="P926" s="30"/>
    </row>
    <row r="927" ht="15.75" customHeight="1">
      <c r="A927" s="29"/>
      <c r="B927" s="29"/>
      <c r="P927" s="30"/>
    </row>
    <row r="928" ht="15.75" customHeight="1">
      <c r="A928" s="29"/>
      <c r="B928" s="29"/>
      <c r="P928" s="30"/>
    </row>
    <row r="929" ht="15.75" customHeight="1">
      <c r="A929" s="29"/>
      <c r="B929" s="29"/>
      <c r="P929" s="30"/>
    </row>
    <row r="930" ht="15.75" customHeight="1">
      <c r="A930" s="29"/>
      <c r="B930" s="29"/>
      <c r="P930" s="30"/>
    </row>
    <row r="931" ht="15.75" customHeight="1">
      <c r="A931" s="29"/>
      <c r="B931" s="29"/>
      <c r="P931" s="30"/>
    </row>
    <row r="932" ht="15.75" customHeight="1">
      <c r="A932" s="29"/>
      <c r="B932" s="29"/>
      <c r="P932" s="30"/>
    </row>
    <row r="933" ht="15.75" customHeight="1">
      <c r="A933" s="29"/>
      <c r="B933" s="29"/>
      <c r="P933" s="30"/>
    </row>
    <row r="934" ht="15.75" customHeight="1">
      <c r="A934" s="29"/>
      <c r="B934" s="29"/>
      <c r="P934" s="30"/>
    </row>
    <row r="935" ht="15.75" customHeight="1">
      <c r="A935" s="29"/>
      <c r="B935" s="29"/>
      <c r="P935" s="30"/>
    </row>
    <row r="936" ht="15.75" customHeight="1">
      <c r="A936" s="29"/>
      <c r="B936" s="29"/>
      <c r="P936" s="30"/>
    </row>
    <row r="937" ht="15.75" customHeight="1">
      <c r="A937" s="29"/>
      <c r="B937" s="29"/>
      <c r="P937" s="30"/>
    </row>
    <row r="938" ht="15.75" customHeight="1">
      <c r="A938" s="29"/>
      <c r="B938" s="29"/>
      <c r="P938" s="30"/>
    </row>
    <row r="939" ht="15.75" customHeight="1">
      <c r="A939" s="29"/>
      <c r="B939" s="29"/>
      <c r="P939" s="30"/>
    </row>
    <row r="940" ht="15.75" customHeight="1">
      <c r="A940" s="29"/>
      <c r="B940" s="29"/>
      <c r="P940" s="30"/>
    </row>
    <row r="941" ht="15.75" customHeight="1">
      <c r="A941" s="29"/>
      <c r="B941" s="29"/>
      <c r="P941" s="30"/>
    </row>
    <row r="942" ht="15.75" customHeight="1">
      <c r="A942" s="29"/>
      <c r="B942" s="29"/>
      <c r="P942" s="30"/>
    </row>
    <row r="943" ht="15.75" customHeight="1">
      <c r="A943" s="29"/>
      <c r="B943" s="29"/>
      <c r="P943" s="30"/>
    </row>
    <row r="944" ht="15.75" customHeight="1">
      <c r="A944" s="29"/>
      <c r="B944" s="29"/>
      <c r="P944" s="30"/>
    </row>
    <row r="945" ht="15.75" customHeight="1">
      <c r="A945" s="29"/>
      <c r="B945" s="29"/>
      <c r="P945" s="30"/>
    </row>
    <row r="946" ht="15.75" customHeight="1">
      <c r="A946" s="29"/>
      <c r="B946" s="29"/>
      <c r="P946" s="30"/>
    </row>
    <row r="947" ht="15.75" customHeight="1">
      <c r="A947" s="29"/>
      <c r="B947" s="29"/>
      <c r="P947" s="30"/>
    </row>
    <row r="948" ht="15.75" customHeight="1">
      <c r="A948" s="29"/>
      <c r="B948" s="29"/>
      <c r="P948" s="30"/>
    </row>
    <row r="949" ht="15.75" customHeight="1">
      <c r="A949" s="29"/>
      <c r="B949" s="29"/>
      <c r="P949" s="30"/>
    </row>
    <row r="950" ht="15.75" customHeight="1">
      <c r="A950" s="29"/>
      <c r="B950" s="29"/>
      <c r="P950" s="30"/>
    </row>
    <row r="951" ht="15.75" customHeight="1">
      <c r="A951" s="29"/>
      <c r="B951" s="29"/>
      <c r="P951" s="30"/>
    </row>
    <row r="952" ht="15.75" customHeight="1">
      <c r="A952" s="29"/>
      <c r="B952" s="29"/>
      <c r="P952" s="30"/>
    </row>
    <row r="953" ht="15.75" customHeight="1">
      <c r="A953" s="29"/>
      <c r="B953" s="29"/>
      <c r="P953" s="30"/>
    </row>
    <row r="954" ht="15.75" customHeight="1">
      <c r="A954" s="29"/>
      <c r="B954" s="29"/>
      <c r="P954" s="30"/>
    </row>
    <row r="955" ht="15.75" customHeight="1">
      <c r="A955" s="29"/>
      <c r="B955" s="29"/>
      <c r="P955" s="30"/>
    </row>
    <row r="956" ht="15.75" customHeight="1">
      <c r="A956" s="29"/>
      <c r="B956" s="29"/>
      <c r="P956" s="30"/>
    </row>
    <row r="957" ht="15.75" customHeight="1">
      <c r="A957" s="29"/>
      <c r="B957" s="29"/>
      <c r="P957" s="30"/>
    </row>
    <row r="958" ht="15.75" customHeight="1">
      <c r="A958" s="29"/>
      <c r="B958" s="29"/>
      <c r="P958" s="30"/>
    </row>
    <row r="959" ht="15.75" customHeight="1">
      <c r="A959" s="29"/>
      <c r="B959" s="29"/>
      <c r="P959" s="30"/>
    </row>
    <row r="960" ht="15.75" customHeight="1">
      <c r="A960" s="29"/>
      <c r="B960" s="29"/>
      <c r="P960" s="30"/>
    </row>
    <row r="961" ht="15.75" customHeight="1">
      <c r="A961" s="29"/>
      <c r="B961" s="29"/>
      <c r="P961" s="30"/>
    </row>
    <row r="962" ht="15.75" customHeight="1">
      <c r="A962" s="29"/>
      <c r="B962" s="29"/>
      <c r="P962" s="30"/>
    </row>
    <row r="963" ht="15.75" customHeight="1">
      <c r="A963" s="29"/>
      <c r="B963" s="29"/>
      <c r="P963" s="30"/>
    </row>
    <row r="964" ht="15.75" customHeight="1">
      <c r="A964" s="29"/>
      <c r="B964" s="29"/>
      <c r="P964" s="30"/>
    </row>
    <row r="965" ht="15.75" customHeight="1">
      <c r="A965" s="29"/>
      <c r="B965" s="29"/>
      <c r="P965" s="30"/>
    </row>
    <row r="966" ht="15.75" customHeight="1">
      <c r="A966" s="29"/>
      <c r="B966" s="29"/>
      <c r="P966" s="30"/>
    </row>
    <row r="967" ht="15.75" customHeight="1">
      <c r="A967" s="29"/>
      <c r="B967" s="29"/>
      <c r="P967" s="30"/>
    </row>
    <row r="968" ht="15.75" customHeight="1">
      <c r="A968" s="29"/>
      <c r="B968" s="29"/>
      <c r="P968" s="30"/>
    </row>
    <row r="969" ht="15.75" customHeight="1">
      <c r="A969" s="29"/>
      <c r="B969" s="29"/>
      <c r="P969" s="30"/>
    </row>
    <row r="970" ht="15.75" customHeight="1">
      <c r="A970" s="29"/>
      <c r="B970" s="29"/>
      <c r="P970" s="30"/>
    </row>
    <row r="971" ht="15.75" customHeight="1">
      <c r="A971" s="29"/>
      <c r="B971" s="29"/>
      <c r="P971" s="30"/>
    </row>
    <row r="972" ht="15.75" customHeight="1">
      <c r="A972" s="29"/>
      <c r="B972" s="29"/>
      <c r="P972" s="30"/>
    </row>
    <row r="973" ht="15.75" customHeight="1">
      <c r="A973" s="29"/>
      <c r="B973" s="29"/>
      <c r="P973" s="30"/>
    </row>
    <row r="974" ht="15.75" customHeight="1">
      <c r="A974" s="29"/>
      <c r="B974" s="29"/>
      <c r="P974" s="30"/>
    </row>
    <row r="975" ht="15.75" customHeight="1">
      <c r="A975" s="29"/>
      <c r="B975" s="29"/>
      <c r="P975" s="30"/>
    </row>
    <row r="976" ht="15.75" customHeight="1">
      <c r="A976" s="29"/>
      <c r="B976" s="29"/>
      <c r="P976" s="30"/>
    </row>
    <row r="977" ht="15.75" customHeight="1">
      <c r="A977" s="29"/>
      <c r="B977" s="29"/>
      <c r="P977" s="30"/>
    </row>
    <row r="978" ht="15.75" customHeight="1">
      <c r="A978" s="29"/>
      <c r="B978" s="29"/>
      <c r="P978" s="30"/>
    </row>
    <row r="979" ht="15.75" customHeight="1">
      <c r="A979" s="29"/>
      <c r="B979" s="29"/>
      <c r="P979" s="30"/>
    </row>
    <row r="980" ht="15.75" customHeight="1">
      <c r="A980" s="29"/>
      <c r="B980" s="29"/>
      <c r="P980" s="30"/>
    </row>
    <row r="981" ht="15.75" customHeight="1">
      <c r="A981" s="29"/>
      <c r="B981" s="29"/>
      <c r="P981" s="30"/>
    </row>
    <row r="982" ht="15.75" customHeight="1">
      <c r="A982" s="29"/>
      <c r="B982" s="29"/>
      <c r="P982" s="30"/>
    </row>
    <row r="983" ht="15.75" customHeight="1">
      <c r="A983" s="29"/>
      <c r="B983" s="29"/>
      <c r="P983" s="30"/>
    </row>
    <row r="984" ht="15.75" customHeight="1">
      <c r="A984" s="29"/>
      <c r="B984" s="29"/>
      <c r="P984" s="30"/>
    </row>
    <row r="985" ht="15.75" customHeight="1">
      <c r="A985" s="29"/>
      <c r="B985" s="29"/>
      <c r="P985" s="30"/>
    </row>
    <row r="986" ht="15.75" customHeight="1">
      <c r="A986" s="29"/>
      <c r="B986" s="29"/>
      <c r="P986" s="30"/>
    </row>
    <row r="987" ht="15.75" customHeight="1">
      <c r="A987" s="29"/>
      <c r="B987" s="29"/>
      <c r="P987" s="30"/>
    </row>
    <row r="988" ht="15.75" customHeight="1">
      <c r="A988" s="29"/>
      <c r="B988" s="29"/>
      <c r="P988" s="30"/>
    </row>
    <row r="989" ht="15.75" customHeight="1">
      <c r="A989" s="29"/>
      <c r="B989" s="29"/>
      <c r="P989" s="30"/>
    </row>
    <row r="990" ht="15.75" customHeight="1">
      <c r="A990" s="29"/>
      <c r="B990" s="29"/>
      <c r="P990" s="30"/>
    </row>
    <row r="991" ht="15.75" customHeight="1">
      <c r="A991" s="29"/>
      <c r="B991" s="29"/>
      <c r="P991" s="30"/>
    </row>
    <row r="992" ht="15.75" customHeight="1">
      <c r="A992" s="29"/>
      <c r="B992" s="29"/>
      <c r="P992" s="30"/>
    </row>
    <row r="993" ht="15.75" customHeight="1">
      <c r="A993" s="29"/>
      <c r="B993" s="29"/>
      <c r="P993" s="30"/>
    </row>
    <row r="994" ht="15.75" customHeight="1">
      <c r="A994" s="29"/>
      <c r="B994" s="29"/>
      <c r="P994" s="30"/>
    </row>
    <row r="995" ht="15.75" customHeight="1">
      <c r="A995" s="29"/>
      <c r="B995" s="29"/>
      <c r="P995" s="30"/>
    </row>
    <row r="996" ht="15.75" customHeight="1">
      <c r="A996" s="29"/>
      <c r="B996" s="29"/>
      <c r="P996" s="30"/>
    </row>
    <row r="997" ht="15.75" customHeight="1">
      <c r="A997" s="29"/>
      <c r="B997" s="29"/>
      <c r="P997" s="30"/>
    </row>
    <row r="998" ht="15.75" customHeight="1">
      <c r="A998" s="29"/>
      <c r="B998" s="29"/>
      <c r="P998" s="30"/>
    </row>
    <row r="999" ht="15.75" customHeight="1">
      <c r="A999" s="29"/>
      <c r="B999" s="29"/>
      <c r="P999" s="30"/>
    </row>
    <row r="1000" ht="15.75" customHeight="1">
      <c r="A1000" s="29"/>
      <c r="B1000" s="29"/>
      <c r="P1000" s="30"/>
    </row>
  </sheetData>
  <dataValidations>
    <dataValidation type="list" allowBlank="1" sqref="C2:N201">
      <formula1>"1,2,3,4,5,N/A"</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25.0"/>
    <col customWidth="1" min="3" max="3" width="12.0"/>
    <col customWidth="1" min="4" max="4" width="60.0"/>
    <col customWidth="1" min="5" max="26" width="8.71"/>
  </cols>
  <sheetData>
    <row r="1">
      <c r="A1" s="31" t="s">
        <v>269</v>
      </c>
    </row>
    <row r="2">
      <c r="A2" s="32" t="s">
        <v>270</v>
      </c>
    </row>
    <row r="4" ht="24.75" customHeight="1">
      <c r="A4" s="6" t="s">
        <v>57</v>
      </c>
      <c r="B4" s="6" t="s">
        <v>58</v>
      </c>
      <c r="C4" s="6" t="s">
        <v>271</v>
      </c>
      <c r="D4" s="6" t="s">
        <v>272</v>
      </c>
    </row>
    <row r="5" ht="30.0" customHeight="1">
      <c r="A5" s="10" t="s">
        <v>65</v>
      </c>
      <c r="B5" s="33" t="s">
        <v>66</v>
      </c>
      <c r="C5" s="34">
        <v>0.1</v>
      </c>
      <c r="D5" s="12" t="s">
        <v>273</v>
      </c>
    </row>
    <row r="6" ht="30.0" customHeight="1">
      <c r="A6" s="10" t="s">
        <v>73</v>
      </c>
      <c r="B6" s="33" t="s">
        <v>74</v>
      </c>
      <c r="C6" s="34">
        <v>0.08</v>
      </c>
      <c r="D6" s="12" t="s">
        <v>274</v>
      </c>
    </row>
    <row r="7" ht="30.0" customHeight="1">
      <c r="A7" s="10" t="s">
        <v>81</v>
      </c>
      <c r="B7" s="33" t="s">
        <v>275</v>
      </c>
      <c r="C7" s="34">
        <v>0.15</v>
      </c>
      <c r="D7" s="12" t="s">
        <v>276</v>
      </c>
    </row>
    <row r="8" ht="30.0" customHeight="1">
      <c r="A8" s="10" t="s">
        <v>89</v>
      </c>
      <c r="B8" s="33" t="s">
        <v>277</v>
      </c>
      <c r="C8" s="34">
        <v>0.15</v>
      </c>
      <c r="D8" s="12" t="s">
        <v>278</v>
      </c>
    </row>
    <row r="9" ht="30.0" customHeight="1">
      <c r="A9" s="10" t="s">
        <v>96</v>
      </c>
      <c r="B9" s="33" t="s">
        <v>279</v>
      </c>
      <c r="C9" s="34">
        <v>0.08</v>
      </c>
      <c r="D9" s="12" t="s">
        <v>280</v>
      </c>
    </row>
    <row r="10" ht="30.0" customHeight="1">
      <c r="A10" s="10" t="s">
        <v>103</v>
      </c>
      <c r="B10" s="33" t="s">
        <v>281</v>
      </c>
      <c r="C10" s="34">
        <v>0.05</v>
      </c>
      <c r="D10" s="12" t="s">
        <v>282</v>
      </c>
    </row>
    <row r="11" ht="30.0" customHeight="1">
      <c r="A11" s="10" t="s">
        <v>111</v>
      </c>
      <c r="B11" s="33" t="s">
        <v>283</v>
      </c>
      <c r="C11" s="34">
        <v>0.07</v>
      </c>
      <c r="D11" s="12" t="s">
        <v>284</v>
      </c>
    </row>
    <row r="12" ht="30.0" customHeight="1">
      <c r="A12" s="10" t="s">
        <v>119</v>
      </c>
      <c r="B12" s="33" t="s">
        <v>285</v>
      </c>
      <c r="C12" s="34">
        <v>0.1</v>
      </c>
      <c r="D12" s="12" t="s">
        <v>286</v>
      </c>
    </row>
    <row r="13" ht="30.0" customHeight="1">
      <c r="A13" s="10" t="s">
        <v>126</v>
      </c>
      <c r="B13" s="33" t="s">
        <v>287</v>
      </c>
      <c r="C13" s="34">
        <v>0.07</v>
      </c>
      <c r="D13" s="12" t="s">
        <v>288</v>
      </c>
    </row>
    <row r="14" ht="30.0" customHeight="1">
      <c r="A14" s="10" t="s">
        <v>133</v>
      </c>
      <c r="B14" s="33" t="s">
        <v>289</v>
      </c>
      <c r="C14" s="34">
        <v>0.03</v>
      </c>
      <c r="D14" s="12" t="s">
        <v>290</v>
      </c>
    </row>
    <row r="15" ht="30.0" customHeight="1">
      <c r="A15" s="10" t="s">
        <v>141</v>
      </c>
      <c r="B15" s="33" t="s">
        <v>291</v>
      </c>
      <c r="C15" s="34">
        <v>0.05</v>
      </c>
      <c r="D15" s="12" t="s">
        <v>292</v>
      </c>
    </row>
    <row r="16" ht="30.0" customHeight="1">
      <c r="A16" s="10" t="s">
        <v>148</v>
      </c>
      <c r="B16" s="33" t="s">
        <v>293</v>
      </c>
      <c r="C16" s="34">
        <v>0.07</v>
      </c>
      <c r="D16" s="12" t="s">
        <v>294</v>
      </c>
    </row>
    <row r="17" ht="30.0" customHeight="1">
      <c r="B17" s="35" t="s">
        <v>295</v>
      </c>
      <c r="C17" s="36">
        <f>SUM(C5:C16)</f>
        <v>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30.57"/>
    <col customWidth="1" min="2" max="2" width="10.43"/>
    <col customWidth="1" min="3" max="3" width="13.86"/>
    <col customWidth="1" min="4" max="13" width="10.0"/>
    <col customWidth="1" min="14" max="14" width="14.0"/>
    <col customWidth="1" min="15" max="15" width="8.0"/>
    <col customWidth="1" min="16" max="26" width="8.71"/>
  </cols>
  <sheetData>
    <row r="1">
      <c r="A1" s="31" t="s">
        <v>296</v>
      </c>
    </row>
    <row r="2">
      <c r="A2" s="32" t="s">
        <v>297</v>
      </c>
    </row>
    <row r="4" ht="39.75" customHeight="1">
      <c r="A4" s="6" t="s">
        <v>155</v>
      </c>
      <c r="B4" s="6" t="s">
        <v>298</v>
      </c>
      <c r="C4" s="6" t="s">
        <v>299</v>
      </c>
      <c r="D4" s="6" t="s">
        <v>300</v>
      </c>
      <c r="E4" s="6" t="s">
        <v>301</v>
      </c>
      <c r="F4" s="6" t="s">
        <v>302</v>
      </c>
      <c r="G4" s="6" t="s">
        <v>303</v>
      </c>
      <c r="H4" s="6" t="s">
        <v>304</v>
      </c>
      <c r="I4" s="6" t="s">
        <v>305</v>
      </c>
      <c r="J4" s="6" t="s">
        <v>306</v>
      </c>
      <c r="K4" s="6" t="s">
        <v>307</v>
      </c>
      <c r="L4" s="6" t="s">
        <v>308</v>
      </c>
      <c r="M4" s="6" t="s">
        <v>309</v>
      </c>
      <c r="N4" s="6" t="s">
        <v>310</v>
      </c>
      <c r="O4" s="6" t="s">
        <v>311</v>
      </c>
    </row>
    <row r="5">
      <c r="A5" s="37" t="s">
        <v>312</v>
      </c>
      <c r="B5" s="38">
        <f>IFERROR(AVERAGEIFS('4. Per-Doc Scores'!C:C,'4. Per-Doc Scores'!B:B,A5),"")</f>
        <v>3.6</v>
      </c>
      <c r="C5" s="38">
        <f>IFERROR(AVERAGEIFS('4. Per-Doc Scores'!D:D,'4. Per-Doc Scores'!B:B,A5),"")</f>
        <v>4</v>
      </c>
      <c r="D5" s="38">
        <f>IFERROR(AVERAGEIFS('4. Per-Doc Scores'!E:E,'4. Per-Doc Scores'!B:B,A5),"")</f>
        <v>3</v>
      </c>
      <c r="E5" s="38">
        <f>IFERROR(AVERAGEIFS('4. Per-Doc Scores'!F:F,'4. Per-Doc Scores'!B:B,A5),"")</f>
        <v>3</v>
      </c>
      <c r="F5" s="38">
        <f>IFERROR(AVERAGEIFS('4. Per-Doc Scores'!G:G,'4. Per-Doc Scores'!B:B,A5),"")</f>
        <v>3.8</v>
      </c>
      <c r="G5" s="38">
        <f>IFERROR(AVERAGEIFS('4. Per-Doc Scores'!H:H,'4. Per-Doc Scores'!B:B,A5),"")</f>
        <v>3.333333333</v>
      </c>
      <c r="H5" s="38">
        <f>IFERROR(AVERAGEIFS('4. Per-Doc Scores'!I:I,'4. Per-Doc Scores'!B:B,A5),"")</f>
        <v>3.5</v>
      </c>
      <c r="I5" s="38">
        <f>IFERROR(AVERAGEIFS('4. Per-Doc Scores'!J:J,'4. Per-Doc Scores'!B:B,A5),"")</f>
        <v>3.4</v>
      </c>
      <c r="J5" s="38">
        <f>IFERROR(AVERAGEIFS('4. Per-Doc Scores'!K:K,'4. Per-Doc Scores'!B:B,A5),"")</f>
        <v>4</v>
      </c>
      <c r="K5" s="38">
        <f>IFERROR(AVERAGEIFS('4. Per-Doc Scores'!L:L,'4. Per-Doc Scores'!B:B,A5),"")</f>
        <v>3.6</v>
      </c>
      <c r="L5" s="39">
        <v>0.0</v>
      </c>
      <c r="M5" s="38">
        <f>IFERROR(AVERAGEIFS('4. Per-Doc Scores'!N:N,'4. Per-Doc Scores'!B:B,A5),"")</f>
        <v>3.6</v>
      </c>
      <c r="N5" s="40">
        <v>3.27</v>
      </c>
      <c r="O5" s="41">
        <f t="shared" ref="O5:O13" si="1">IFERROR(RANK(N5,$N$5:$N$13),"")</f>
        <v>7</v>
      </c>
    </row>
    <row r="6">
      <c r="A6" s="37" t="s">
        <v>183</v>
      </c>
      <c r="B6" s="38">
        <f>IFERROR(AVERAGEIFS('4. Per-Doc Scores'!C:C,'4. Per-Doc Scores'!B:B,A6),"")</f>
        <v>3.6</v>
      </c>
      <c r="C6" s="38">
        <f>IFERROR(AVERAGEIFS('4. Per-Doc Scores'!D:D,'4. Per-Doc Scores'!B:B,A6),"")</f>
        <v>4</v>
      </c>
      <c r="D6" s="38">
        <f>IFERROR(AVERAGEIFS('4. Per-Doc Scores'!E:E,'4. Per-Doc Scores'!B:B,A6),"")</f>
        <v>4</v>
      </c>
      <c r="E6" s="38">
        <f>IFERROR(AVERAGEIFS('4. Per-Doc Scores'!F:F,'4. Per-Doc Scores'!B:B,A6),"")</f>
        <v>3.666666667</v>
      </c>
      <c r="F6" s="38">
        <f>IFERROR(AVERAGEIFS('4. Per-Doc Scores'!G:G,'4. Per-Doc Scores'!B:B,A6),"")</f>
        <v>4</v>
      </c>
      <c r="G6" s="38">
        <f>IFERROR(AVERAGEIFS('4. Per-Doc Scores'!H:H,'4. Per-Doc Scores'!B:B,A6),"")</f>
        <v>2</v>
      </c>
      <c r="H6" s="38">
        <f>IFERROR(AVERAGEIFS('4. Per-Doc Scores'!I:I,'4. Per-Doc Scores'!B:B,A6),"")</f>
        <v>3.5</v>
      </c>
      <c r="I6" s="38">
        <f>IFERROR(AVERAGEIFS('4. Per-Doc Scores'!J:J,'4. Per-Doc Scores'!B:B,A6),"")</f>
        <v>3.6</v>
      </c>
      <c r="J6" s="38">
        <f>IFERROR(AVERAGEIFS('4. Per-Doc Scores'!K:K,'4. Per-Doc Scores'!B:B,A6),"")</f>
        <v>3.6</v>
      </c>
      <c r="K6" s="38">
        <f>IFERROR(AVERAGEIFS('4. Per-Doc Scores'!L:L,'4. Per-Doc Scores'!B:B,A6),"")</f>
        <v>3.2</v>
      </c>
      <c r="L6" s="39">
        <v>0.0</v>
      </c>
      <c r="M6" s="38">
        <f>IFERROR(AVERAGEIFS('4. Per-Doc Scores'!N:N,'4. Per-Doc Scores'!B:B,A6),"")</f>
        <v>3.6</v>
      </c>
      <c r="N6" s="40">
        <v>3.45</v>
      </c>
      <c r="O6" s="41">
        <f t="shared" si="1"/>
        <v>2</v>
      </c>
    </row>
    <row r="7">
      <c r="A7" s="37" t="s">
        <v>194</v>
      </c>
      <c r="B7" s="38">
        <f>IFERROR(AVERAGEIFS('4. Per-Doc Scores'!C:C,'4. Per-Doc Scores'!B:B,A7),"")</f>
        <v>2.6</v>
      </c>
      <c r="C7" s="38">
        <f>IFERROR(AVERAGEIFS('4. Per-Doc Scores'!D:D,'4. Per-Doc Scores'!B:B,A7),"")</f>
        <v>2</v>
      </c>
      <c r="D7" s="38">
        <f>IFERROR(AVERAGEIFS('4. Per-Doc Scores'!E:E,'4. Per-Doc Scores'!B:B,A7),"")</f>
        <v>1.5</v>
      </c>
      <c r="E7" s="38">
        <f>IFERROR(AVERAGEIFS('4. Per-Doc Scores'!F:F,'4. Per-Doc Scores'!B:B,A7),"")</f>
        <v>2</v>
      </c>
      <c r="F7" s="38">
        <f>IFERROR(AVERAGEIFS('4. Per-Doc Scores'!G:G,'4. Per-Doc Scores'!B:B,A7),"")</f>
        <v>2.2</v>
      </c>
      <c r="G7" s="38">
        <f>IFERROR(AVERAGEIFS('4. Per-Doc Scores'!H:H,'4. Per-Doc Scores'!B:B,A7),"")</f>
        <v>1.5</v>
      </c>
      <c r="H7" s="38">
        <f>IFERROR(AVERAGEIFS('4. Per-Doc Scores'!I:I,'4. Per-Doc Scores'!B:B,A7),"")</f>
        <v>1</v>
      </c>
      <c r="I7" s="38">
        <f>IFERROR(AVERAGEIFS('4. Per-Doc Scores'!J:J,'4. Per-Doc Scores'!B:B,A7),"")</f>
        <v>1.8</v>
      </c>
      <c r="J7" s="38">
        <f>IFERROR(AVERAGEIFS('4. Per-Doc Scores'!K:K,'4. Per-Doc Scores'!B:B,A7),"")</f>
        <v>2.2</v>
      </c>
      <c r="K7" s="38">
        <f>IFERROR(AVERAGEIFS('4. Per-Doc Scores'!L:L,'4. Per-Doc Scores'!B:B,A7),"")</f>
        <v>2.6</v>
      </c>
      <c r="L7" s="39">
        <v>0.0</v>
      </c>
      <c r="M7" s="38">
        <f>IFERROR(AVERAGEIFS('4. Per-Doc Scores'!N:N,'4. Per-Doc Scores'!B:B,A7),"")</f>
        <v>2.4</v>
      </c>
      <c r="N7" s="40">
        <v>1.85</v>
      </c>
      <c r="O7" s="41">
        <f t="shared" si="1"/>
        <v>9</v>
      </c>
    </row>
    <row r="8">
      <c r="A8" s="37" t="s">
        <v>205</v>
      </c>
      <c r="B8" s="38">
        <f>IFERROR(AVERAGEIFS('4. Per-Doc Scores'!C:C,'4. Per-Doc Scores'!B:B,A8),"")</f>
        <v>3</v>
      </c>
      <c r="C8" s="38">
        <f>IFERROR(AVERAGEIFS('4. Per-Doc Scores'!D:D,'4. Per-Doc Scores'!B:B,A8),"")</f>
        <v>3.4</v>
      </c>
      <c r="D8" s="38">
        <f>IFERROR(AVERAGEIFS('4. Per-Doc Scores'!E:E,'4. Per-Doc Scores'!B:B,A8),"")</f>
        <v>1.5</v>
      </c>
      <c r="E8" s="38">
        <f>IFERROR(AVERAGEIFS('4. Per-Doc Scores'!F:F,'4. Per-Doc Scores'!B:B,A8),"")</f>
        <v>2.5</v>
      </c>
      <c r="F8" s="38">
        <f>IFERROR(AVERAGEIFS('4. Per-Doc Scores'!G:G,'4. Per-Doc Scores'!B:B,A8),"")</f>
        <v>2.8</v>
      </c>
      <c r="G8" s="38">
        <f>IFERROR(AVERAGEIFS('4. Per-Doc Scores'!H:H,'4. Per-Doc Scores'!B:B,A8),"")</f>
        <v>2.5</v>
      </c>
      <c r="H8" s="38">
        <f>IFERROR(AVERAGEIFS('4. Per-Doc Scores'!I:I,'4. Per-Doc Scores'!B:B,A8),"")</f>
        <v>1</v>
      </c>
      <c r="I8" s="38">
        <f>IFERROR(AVERAGEIFS('4. Per-Doc Scores'!J:J,'4. Per-Doc Scores'!B:B,A8),"")</f>
        <v>2.6</v>
      </c>
      <c r="J8" s="38">
        <f>IFERROR(AVERAGEIFS('4. Per-Doc Scores'!K:K,'4. Per-Doc Scores'!B:B,A8),"")</f>
        <v>2.8</v>
      </c>
      <c r="K8" s="38">
        <f>IFERROR(AVERAGEIFS('4. Per-Doc Scores'!L:L,'4. Per-Doc Scores'!B:B,A8),"")</f>
        <v>2.8</v>
      </c>
      <c r="L8" s="39">
        <v>0.0</v>
      </c>
      <c r="M8" s="38">
        <f>IFERROR(AVERAGEIFS('4. Per-Doc Scores'!N:N,'4. Per-Doc Scores'!B:B,A8),"")</f>
        <v>3</v>
      </c>
      <c r="N8" s="40">
        <v>2.34</v>
      </c>
      <c r="O8" s="41">
        <f t="shared" si="1"/>
        <v>8</v>
      </c>
    </row>
    <row r="9">
      <c r="A9" s="37" t="s">
        <v>313</v>
      </c>
      <c r="B9" s="38">
        <f>IFERROR(AVERAGEIFS('4. Per-Doc Scores'!C:C,'4. Per-Doc Scores'!B:B,A9),"")</f>
        <v>3.6</v>
      </c>
      <c r="C9" s="38">
        <f>IFERROR(AVERAGEIFS('4. Per-Doc Scores'!D:D,'4. Per-Doc Scores'!B:B,A9),"")</f>
        <v>3.4</v>
      </c>
      <c r="D9" s="38">
        <f>IFERROR(AVERAGEIFS('4. Per-Doc Scores'!E:E,'4. Per-Doc Scores'!B:B,A9),"")</f>
        <v>3.333333333</v>
      </c>
      <c r="E9" s="38">
        <f>IFERROR(AVERAGEIFS('4. Per-Doc Scores'!F:F,'4. Per-Doc Scores'!B:B,A9),"")</f>
        <v>3.666666667</v>
      </c>
      <c r="F9" s="38">
        <f>IFERROR(AVERAGEIFS('4. Per-Doc Scores'!G:G,'4. Per-Doc Scores'!B:B,A9),"")</f>
        <v>3.8</v>
      </c>
      <c r="G9" s="38">
        <f>IFERROR(AVERAGEIFS('4. Per-Doc Scores'!H:H,'4. Per-Doc Scores'!B:B,A9),"")</f>
        <v>3</v>
      </c>
      <c r="H9" s="38">
        <f>IFERROR(AVERAGEIFS('4. Per-Doc Scores'!I:I,'4. Per-Doc Scores'!B:B,A9),"")</f>
        <v>3</v>
      </c>
      <c r="I9" s="38">
        <f>IFERROR(AVERAGEIFS('4. Per-Doc Scores'!J:J,'4. Per-Doc Scores'!B:B,A9),"")</f>
        <v>3.4</v>
      </c>
      <c r="J9" s="38">
        <f>IFERROR(AVERAGEIFS('4. Per-Doc Scores'!K:K,'4. Per-Doc Scores'!B:B,A9),"")</f>
        <v>3.8</v>
      </c>
      <c r="K9" s="38">
        <f>IFERROR(AVERAGEIFS('4. Per-Doc Scores'!L:L,'4. Per-Doc Scores'!B:B,A9),"")</f>
        <v>3.6</v>
      </c>
      <c r="L9" s="39">
        <v>0.0</v>
      </c>
      <c r="M9" s="38">
        <f>IFERROR(AVERAGEIFS('4. Per-Doc Scores'!N:N,'4. Per-Doc Scores'!B:B,A9),"")</f>
        <v>3.6</v>
      </c>
      <c r="N9" s="40">
        <v>3.32</v>
      </c>
      <c r="O9" s="41">
        <f t="shared" si="1"/>
        <v>4</v>
      </c>
    </row>
    <row r="10">
      <c r="A10" s="37" t="s">
        <v>227</v>
      </c>
      <c r="B10" s="38">
        <f>IFERROR(AVERAGEIFS('4. Per-Doc Scores'!C:C,'4. Per-Doc Scores'!B:B,A10),"")</f>
        <v>4.2</v>
      </c>
      <c r="C10" s="38">
        <f>IFERROR(AVERAGEIFS('4. Per-Doc Scores'!D:D,'4. Per-Doc Scores'!B:B,A10),"")</f>
        <v>4</v>
      </c>
      <c r="D10" s="38">
        <f>IFERROR(AVERAGEIFS('4. Per-Doc Scores'!E:E,'4. Per-Doc Scores'!B:B,A10),"")</f>
        <v>3.666666667</v>
      </c>
      <c r="E10" s="38">
        <f>IFERROR(AVERAGEIFS('4. Per-Doc Scores'!F:F,'4. Per-Doc Scores'!B:B,A10),"")</f>
        <v>3.666666667</v>
      </c>
      <c r="F10" s="38">
        <f>IFERROR(AVERAGEIFS('4. Per-Doc Scores'!G:G,'4. Per-Doc Scores'!B:B,A10),"")</f>
        <v>2</v>
      </c>
      <c r="G10" s="38">
        <f>IFERROR(AVERAGEIFS('4. Per-Doc Scores'!H:H,'4. Per-Doc Scores'!B:B,A10),"")</f>
        <v>2.666666667</v>
      </c>
      <c r="H10" s="38">
        <f>IFERROR(AVERAGEIFS('4. Per-Doc Scores'!I:I,'4. Per-Doc Scores'!B:B,A10),"")</f>
        <v>3</v>
      </c>
      <c r="I10" s="38">
        <f>IFERROR(AVERAGEIFS('4. Per-Doc Scores'!J:J,'4. Per-Doc Scores'!B:B,A10),"")</f>
        <v>3.6</v>
      </c>
      <c r="J10" s="38">
        <f>IFERROR(AVERAGEIFS('4. Per-Doc Scores'!K:K,'4. Per-Doc Scores'!B:B,A10),"")</f>
        <v>3.6</v>
      </c>
      <c r="K10" s="38">
        <f>IFERROR(AVERAGEIFS('4. Per-Doc Scores'!L:L,'4. Per-Doc Scores'!B:B,A10),"")</f>
        <v>3.6</v>
      </c>
      <c r="L10" s="39">
        <v>0.0</v>
      </c>
      <c r="M10" s="38">
        <f>IFERROR(AVERAGEIFS('4. Per-Doc Scores'!N:N,'4. Per-Doc Scores'!B:B,A10),"")</f>
        <v>3.6</v>
      </c>
      <c r="N10" s="40">
        <v>3.31</v>
      </c>
      <c r="O10" s="41">
        <f t="shared" si="1"/>
        <v>5</v>
      </c>
    </row>
    <row r="11">
      <c r="A11" s="37" t="s">
        <v>237</v>
      </c>
      <c r="B11" s="38">
        <f>IFERROR(AVERAGEIFS('4. Per-Doc Scores'!C:C,'4. Per-Doc Scores'!B:B,A11),"")</f>
        <v>3.6</v>
      </c>
      <c r="C11" s="38">
        <f>IFERROR(AVERAGEIFS('4. Per-Doc Scores'!D:D,'4. Per-Doc Scores'!B:B,A11),"")</f>
        <v>3.2</v>
      </c>
      <c r="D11" s="38">
        <f>IFERROR(AVERAGEIFS('4. Per-Doc Scores'!E:E,'4. Per-Doc Scores'!B:B,A11),"")</f>
        <v>3.333333333</v>
      </c>
      <c r="E11" s="38">
        <f>IFERROR(AVERAGEIFS('4. Per-Doc Scores'!F:F,'4. Per-Doc Scores'!B:B,A11),"")</f>
        <v>3.666666667</v>
      </c>
      <c r="F11" s="38">
        <f>IFERROR(AVERAGEIFS('4. Per-Doc Scores'!G:G,'4. Per-Doc Scores'!B:B,A11),"")</f>
        <v>3.8</v>
      </c>
      <c r="G11" s="38">
        <f>IFERROR(AVERAGEIFS('4. Per-Doc Scores'!H:H,'4. Per-Doc Scores'!B:B,A11),"")</f>
        <v>3.333333333</v>
      </c>
      <c r="H11" s="38">
        <f>IFERROR(AVERAGEIFS('4. Per-Doc Scores'!I:I,'4. Per-Doc Scores'!B:B,A11),"")</f>
        <v>3.5</v>
      </c>
      <c r="I11" s="38">
        <f>IFERROR(AVERAGEIFS('4. Per-Doc Scores'!J:J,'4. Per-Doc Scores'!B:B,A11),"")</f>
        <v>3.6</v>
      </c>
      <c r="J11" s="38">
        <f>IFERROR(AVERAGEIFS('4. Per-Doc Scores'!K:K,'4. Per-Doc Scores'!B:B,A11),"")</f>
        <v>3</v>
      </c>
      <c r="K11" s="38">
        <f>IFERROR(AVERAGEIFS('4. Per-Doc Scores'!L:L,'4. Per-Doc Scores'!B:B,A11),"")</f>
        <v>3.2</v>
      </c>
      <c r="L11" s="39">
        <v>0.0</v>
      </c>
      <c r="M11" s="38">
        <f>IFERROR(AVERAGEIFS('4. Per-Doc Scores'!N:N,'4. Per-Doc Scores'!B:B,A11),"")</f>
        <v>3.6</v>
      </c>
      <c r="N11" s="40">
        <v>3.29</v>
      </c>
      <c r="O11" s="41">
        <f t="shared" si="1"/>
        <v>6</v>
      </c>
    </row>
    <row r="12">
      <c r="A12" s="37" t="s">
        <v>248</v>
      </c>
      <c r="B12" s="38">
        <f>IFERROR(AVERAGEIFS('4. Per-Doc Scores'!C:C,'4. Per-Doc Scores'!B:B,A12),"")</f>
        <v>4.8</v>
      </c>
      <c r="C12" s="38">
        <f>IFERROR(AVERAGEIFS('4. Per-Doc Scores'!D:D,'4. Per-Doc Scores'!B:B,A12),"")</f>
        <v>4.6</v>
      </c>
      <c r="D12" s="38">
        <f>IFERROR(AVERAGEIFS('4. Per-Doc Scores'!E:E,'4. Per-Doc Scores'!B:B,A12),"")</f>
        <v>4.666666667</v>
      </c>
      <c r="E12" s="38">
        <f>IFERROR(AVERAGEIFS('4. Per-Doc Scores'!F:F,'4. Per-Doc Scores'!B:B,A12),"")</f>
        <v>4</v>
      </c>
      <c r="F12" s="38">
        <f>IFERROR(AVERAGEIFS('4. Per-Doc Scores'!G:G,'4. Per-Doc Scores'!B:B,A12),"")</f>
        <v>4.4</v>
      </c>
      <c r="G12" s="38">
        <f>IFERROR(AVERAGEIFS('4. Per-Doc Scores'!H:H,'4. Per-Doc Scores'!B:B,A12),"")</f>
        <v>3.666666667</v>
      </c>
      <c r="H12" s="38">
        <f>IFERROR(AVERAGEIFS('4. Per-Doc Scores'!I:I,'4. Per-Doc Scores'!B:B,A12),"")</f>
        <v>3.5</v>
      </c>
      <c r="I12" s="38">
        <f>IFERROR(AVERAGEIFS('4. Per-Doc Scores'!J:J,'4. Per-Doc Scores'!B:B,A12),"")</f>
        <v>4.2</v>
      </c>
      <c r="J12" s="38">
        <f>IFERROR(AVERAGEIFS('4. Per-Doc Scores'!K:K,'4. Per-Doc Scores'!B:B,A12),"")</f>
        <v>4</v>
      </c>
      <c r="K12" s="38">
        <f>IFERROR(AVERAGEIFS('4. Per-Doc Scores'!L:L,'4. Per-Doc Scores'!B:B,A12),"")</f>
        <v>3.8</v>
      </c>
      <c r="L12" s="39">
        <v>0.0</v>
      </c>
      <c r="M12" s="38">
        <f>IFERROR(AVERAGEIFS('4. Per-Doc Scores'!N:N,'4. Per-Doc Scores'!B:B,A12),"")</f>
        <v>4</v>
      </c>
      <c r="N12" s="40">
        <v>4.02</v>
      </c>
      <c r="O12" s="41">
        <f t="shared" si="1"/>
        <v>1</v>
      </c>
    </row>
    <row r="13">
      <c r="A13" s="37" t="s">
        <v>259</v>
      </c>
      <c r="B13" s="38">
        <f>IFERROR(AVERAGEIFS('4. Per-Doc Scores'!C:C,'4. Per-Doc Scores'!B:B,A13),"")</f>
        <v>4</v>
      </c>
      <c r="C13" s="38">
        <f>IFERROR(AVERAGEIFS('4. Per-Doc Scores'!D:D,'4. Per-Doc Scores'!B:B,A13),"")</f>
        <v>3.8</v>
      </c>
      <c r="D13" s="38">
        <f>IFERROR(AVERAGEIFS('4. Per-Doc Scores'!E:E,'4. Per-Doc Scores'!B:B,A13),"")</f>
        <v>3.25</v>
      </c>
      <c r="E13" s="38">
        <f>IFERROR(AVERAGEIFS('4. Per-Doc Scores'!F:F,'4. Per-Doc Scores'!B:B,A13),"")</f>
        <v>4</v>
      </c>
      <c r="F13" s="38">
        <f>IFERROR(AVERAGEIFS('4. Per-Doc Scores'!G:G,'4. Per-Doc Scores'!B:B,A13),"")</f>
        <v>3.4</v>
      </c>
      <c r="G13" s="38">
        <f>IFERROR(AVERAGEIFS('4. Per-Doc Scores'!H:H,'4. Per-Doc Scores'!B:B,A13),"")</f>
        <v>3</v>
      </c>
      <c r="H13" s="38">
        <f>IFERROR(AVERAGEIFS('4. Per-Doc Scores'!I:I,'4. Per-Doc Scores'!B:B,A13),"")</f>
        <v>3</v>
      </c>
      <c r="I13" s="38">
        <f>IFERROR(AVERAGEIFS('4. Per-Doc Scores'!J:J,'4. Per-Doc Scores'!B:B,A13),"")</f>
        <v>3.4</v>
      </c>
      <c r="J13" s="38">
        <f>IFERROR(AVERAGEIFS('4. Per-Doc Scores'!K:K,'4. Per-Doc Scores'!B:B,A13),"")</f>
        <v>3.6</v>
      </c>
      <c r="K13" s="38">
        <f>IFERROR(AVERAGEIFS('4. Per-Doc Scores'!L:L,'4. Per-Doc Scores'!B:B,A13),"")</f>
        <v>3.8</v>
      </c>
      <c r="L13" s="39">
        <v>0.0</v>
      </c>
      <c r="M13" s="38">
        <f>IFERROR(AVERAGEIFS('4. Per-Doc Scores'!N:N,'4. Per-Doc Scores'!B:B,A13),"")</f>
        <v>3.4</v>
      </c>
      <c r="N13" s="40">
        <v>3.36</v>
      </c>
      <c r="O13" s="41">
        <f t="shared" si="1"/>
        <v>3</v>
      </c>
    </row>
    <row r="14">
      <c r="A14" s="42"/>
      <c r="B14" s="38" t="str">
        <f>IFERROR(AVERAGEIFS('4. Per-Doc Scores'!C:C,'4. Per-Doc Scores'!B:B,A14),"")</f>
        <v/>
      </c>
      <c r="C14" s="38" t="str">
        <f>IFERROR(AVERAGEIFS('4. Per-Doc Scores'!D:D,'4. Per-Doc Scores'!B:B,A14),"")</f>
        <v/>
      </c>
      <c r="D14" s="38" t="str">
        <f>IFERROR(AVERAGEIFS('4. Per-Doc Scores'!E:E,'4. Per-Doc Scores'!B:B,A14),"")</f>
        <v/>
      </c>
      <c r="E14" s="38" t="str">
        <f>IFERROR(AVERAGEIFS('4. Per-Doc Scores'!F:F,'4. Per-Doc Scores'!B:B,A14),"")</f>
        <v/>
      </c>
      <c r="F14" s="38" t="str">
        <f>IFERROR(AVERAGEIFS('4. Per-Doc Scores'!G:G,'4. Per-Doc Scores'!B:B,A14),"")</f>
        <v/>
      </c>
      <c r="G14" s="38" t="str">
        <f>IFERROR(AVERAGEIFS('4. Per-Doc Scores'!H:H,'4. Per-Doc Scores'!B:B,A14),"")</f>
        <v/>
      </c>
      <c r="H14" s="38" t="str">
        <f>IFERROR(AVERAGEIFS('4. Per-Doc Scores'!I:I,'4. Per-Doc Scores'!B:B,A14),"")</f>
        <v/>
      </c>
      <c r="I14" s="38" t="str">
        <f>IFERROR(AVERAGEIFS('4. Per-Doc Scores'!J:J,'4. Per-Doc Scores'!B:B,A14),"")</f>
        <v/>
      </c>
      <c r="J14" s="38" t="str">
        <f>IFERROR(AVERAGEIFS('4. Per-Doc Scores'!K:K,'4. Per-Doc Scores'!B:B,A14),"")</f>
        <v/>
      </c>
      <c r="K14" s="38" t="str">
        <f>IFERROR(AVERAGEIFS('4. Per-Doc Scores'!L:L,'4. Per-Doc Scores'!B:B,A14),"")</f>
        <v/>
      </c>
      <c r="L14" s="38" t="str">
        <f>IFERROR(AVERAGEIFS('4. Per-Doc Scores'!M:M,'4. Per-Doc Scores'!B:B,A14),"")</f>
        <v/>
      </c>
      <c r="M14" s="38" t="str">
        <f>IFERROR(AVERAGEIFS('4. Per-Doc Scores'!N:N,'4. Per-Doc Scores'!B:B,A14),"")</f>
        <v/>
      </c>
      <c r="N14" s="43" t="str">
        <f>IFERROR(SUMPRODUCT(IFERROR(B14:M14,0),'5. Weights'!C10:C21),"")</f>
        <v/>
      </c>
      <c r="O14" s="41" t="str">
        <f t="shared" ref="O14:O15" si="2">IFERROR(RANK(N14,$N$5:$N$10),"")</f>
        <v/>
      </c>
    </row>
    <row r="15">
      <c r="A15" s="42"/>
      <c r="B15" s="38" t="str">
        <f>IFERROR(AVERAGEIFS('4. Per-Doc Scores'!C:C,'4. Per-Doc Scores'!B:B,A15),"")</f>
        <v/>
      </c>
      <c r="C15" s="38" t="str">
        <f>IFERROR(AVERAGEIFS('4. Per-Doc Scores'!D:D,'4. Per-Doc Scores'!B:B,A15),"")</f>
        <v/>
      </c>
      <c r="D15" s="38" t="str">
        <f>IFERROR(AVERAGEIFS('4. Per-Doc Scores'!E:E,'4. Per-Doc Scores'!B:B,A15),"")</f>
        <v/>
      </c>
      <c r="E15" s="38" t="str">
        <f>IFERROR(AVERAGEIFS('4. Per-Doc Scores'!F:F,'4. Per-Doc Scores'!B:B,A15),"")</f>
        <v/>
      </c>
      <c r="F15" s="38" t="str">
        <f>IFERROR(AVERAGEIFS('4. Per-Doc Scores'!G:G,'4. Per-Doc Scores'!B:B,A15),"")</f>
        <v/>
      </c>
      <c r="G15" s="38" t="str">
        <f>IFERROR(AVERAGEIFS('4. Per-Doc Scores'!H:H,'4. Per-Doc Scores'!B:B,A15),"")</f>
        <v/>
      </c>
      <c r="H15" s="38" t="str">
        <f>IFERROR(AVERAGEIFS('4. Per-Doc Scores'!I:I,'4. Per-Doc Scores'!B:B,A15),"")</f>
        <v/>
      </c>
      <c r="I15" s="38" t="str">
        <f>IFERROR(AVERAGEIFS('4. Per-Doc Scores'!J:J,'4. Per-Doc Scores'!B:B,A15),"")</f>
        <v/>
      </c>
      <c r="J15" s="38" t="str">
        <f>IFERROR(AVERAGEIFS('4. Per-Doc Scores'!K:K,'4. Per-Doc Scores'!B:B,A15),"")</f>
        <v/>
      </c>
      <c r="K15" s="38" t="str">
        <f>IFERROR(AVERAGEIFS('4. Per-Doc Scores'!L:L,'4. Per-Doc Scores'!B:B,A15),"")</f>
        <v/>
      </c>
      <c r="L15" s="38" t="str">
        <f>IFERROR(AVERAGEIFS('4. Per-Doc Scores'!M:M,'4. Per-Doc Scores'!B:B,A15),"")</f>
        <v/>
      </c>
      <c r="M15" s="38" t="str">
        <f>IFERROR(AVERAGEIFS('4. Per-Doc Scores'!N:N,'4. Per-Doc Scores'!B:B,A15),"")</f>
        <v/>
      </c>
      <c r="N15" s="43" t="str">
        <f>IFERROR(SUMPRODUCT(IFERROR(B15:M15,0),'5. Weights'!C11:C22),"")</f>
        <v/>
      </c>
      <c r="O15" s="41" t="str">
        <f t="shared" si="2"/>
        <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86"/>
    <col customWidth="1" min="2" max="2" width="13.29"/>
    <col customWidth="1" min="3" max="3" width="9.29"/>
    <col customWidth="1" min="4" max="22" width="8.71"/>
  </cols>
  <sheetData>
    <row r="1">
      <c r="A1" s="31" t="s">
        <v>314</v>
      </c>
    </row>
    <row r="2">
      <c r="A2" s="32"/>
    </row>
    <row r="5" ht="34.5" customHeight="1">
      <c r="A5" s="6" t="s">
        <v>155</v>
      </c>
      <c r="B5" s="6" t="s">
        <v>315</v>
      </c>
      <c r="C5" s="6" t="s">
        <v>311</v>
      </c>
    </row>
    <row r="6">
      <c r="A6" s="44" t="str">
        <f>'6. Weighted Summary'!A5</f>
        <v>Pymupdf4llm</v>
      </c>
      <c r="B6" s="38">
        <f>IFERROR('6. Weighted Summary'!N5,"")</f>
        <v>3.27</v>
      </c>
      <c r="C6" s="45">
        <v>7.0</v>
      </c>
    </row>
    <row r="7">
      <c r="A7" s="44" t="str">
        <f>'6. Weighted Summary'!A6</f>
        <v>Docling</v>
      </c>
      <c r="B7" s="38">
        <f>IFERROR('6. Weighted Summary'!N6,"")</f>
        <v>3.45</v>
      </c>
      <c r="C7" s="45">
        <v>2.0</v>
      </c>
    </row>
    <row r="8">
      <c r="A8" s="44" t="str">
        <f>'6. Weighted Summary'!A7</f>
        <v>Unstructured</v>
      </c>
      <c r="B8" s="38">
        <f>IFERROR('6. Weighted Summary'!N7,"")</f>
        <v>1.85</v>
      </c>
      <c r="C8" s="45">
        <v>9.0</v>
      </c>
    </row>
    <row r="9">
      <c r="A9" s="46" t="str">
        <f>'6. Weighted Summary'!A8</f>
        <v>Open Data Loader</v>
      </c>
      <c r="B9" s="38">
        <f>IFERROR('6. Weighted Summary'!N8,"")</f>
        <v>2.34</v>
      </c>
      <c r="C9" s="45">
        <v>8.0</v>
      </c>
    </row>
    <row r="10">
      <c r="A10" s="44" t="str">
        <f>'6. Weighted Summary'!A9</f>
        <v>Marker</v>
      </c>
      <c r="B10" s="38">
        <f>IFERROR('6. Weighted Summary'!N9,"")</f>
        <v>3.32</v>
      </c>
      <c r="C10" s="45">
        <v>4.0</v>
      </c>
    </row>
    <row r="11">
      <c r="A11" s="44" t="str">
        <f>'6. Weighted Summary'!A10</f>
        <v>pdftotext + pymupdf</v>
      </c>
      <c r="B11" s="38">
        <f>IFERROR('6. Weighted Summary'!N10,"")</f>
        <v>3.31</v>
      </c>
      <c r="C11" s="45">
        <v>5.0</v>
      </c>
    </row>
    <row r="12">
      <c r="A12" s="44" t="str">
        <f>'6. Weighted Summary'!A11</f>
        <v>pdftotext + docling</v>
      </c>
      <c r="B12" s="38">
        <f>IFERROR('6. Weighted Summary'!N11,"")</f>
        <v>3.29</v>
      </c>
      <c r="C12" s="45">
        <v>6.0</v>
      </c>
    </row>
    <row r="13">
      <c r="A13" s="44" t="str">
        <f>'6. Weighted Summary'!A12</f>
        <v>Llamaparse</v>
      </c>
      <c r="B13" s="38">
        <f>IFERROR('6. Weighted Summary'!N12,"")</f>
        <v>4.02</v>
      </c>
      <c r="C13" s="45">
        <v>1.0</v>
      </c>
    </row>
    <row r="14">
      <c r="A14" s="44" t="str">
        <f>'6. Weighted Summary'!A13</f>
        <v>Azure Document Intelligence</v>
      </c>
      <c r="B14" s="38">
        <f>IFERROR('6. Weighted Summary'!N13,"")</f>
        <v>3.36</v>
      </c>
      <c r="C14" s="45">
        <v>3.0</v>
      </c>
    </row>
    <row r="15">
      <c r="A15" s="44"/>
      <c r="B15" s="38"/>
      <c r="C15" s="41"/>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1.0" footer="0.0" header="0.0" left="0.75" right="0.75" top="1.0"/>
  <pageSetup paperSize="9" orientation="portrait"/>
  <drawing r:id="rId1"/>
</worksheet>
</file>